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DESS\METHODES QUANTITATIVES\TP1 EQUIPE\"/>
    </mc:Choice>
  </mc:AlternateContent>
  <xr:revisionPtr revIDLastSave="0" documentId="13_ncr:1_{AB4957A2-46DE-4B3F-BBD9-0F28C80BE2DD}" xr6:coauthVersionLast="47" xr6:coauthVersionMax="47" xr10:uidLastSave="{00000000-0000-0000-0000-000000000000}"/>
  <bookViews>
    <workbookView xWindow="21108" yWindow="1224" windowWidth="19716" windowHeight="13548" xr2:uid="{4DA0892F-78DE-4D00-844D-1B16F5B0ADEA}"/>
  </bookViews>
  <sheets>
    <sheet name="opt var portefeuille" sheetId="4" r:id="rId1"/>
    <sheet name="var min portf sans cntr rend" sheetId="2" r:id="rId2"/>
    <sheet name="brouillon" sheetId="1" r:id="rId3"/>
  </sheets>
  <definedNames>
    <definedName name="solver_adj" localSheetId="2" hidden="1">brouillon!$C$13:$C$16</definedName>
    <definedName name="solver_adj" localSheetId="0" hidden="1">'opt var portefeuille'!$B$14:$B$17</definedName>
    <definedName name="solver_adj" localSheetId="1" hidden="1">'var min portf sans cntr rend'!$C$14:$C$17</definedName>
    <definedName name="solver_cvg" localSheetId="2" hidden="1">0.0001</definedName>
    <definedName name="solver_cvg" localSheetId="0" hidden="1">0.0001</definedName>
    <definedName name="solver_cvg" localSheetId="1" hidden="1">0.0001</definedName>
    <definedName name="solver_drv" localSheetId="2" hidden="1">1</definedName>
    <definedName name="solver_drv" localSheetId="0" hidden="1">2</definedName>
    <definedName name="solver_drv" localSheetId="1" hidden="1">2</definedName>
    <definedName name="solver_eng" localSheetId="2" hidden="1">1</definedName>
    <definedName name="solver_eng" localSheetId="0" hidden="1">1</definedName>
    <definedName name="solver_eng" localSheetId="1" hidden="1">1</definedName>
    <definedName name="solver_est" localSheetId="2" hidden="1">1</definedName>
    <definedName name="solver_est" localSheetId="0" hidden="1">1</definedName>
    <definedName name="solver_est" localSheetId="1" hidden="1">1</definedName>
    <definedName name="solver_itr" localSheetId="2" hidden="1">2147483647</definedName>
    <definedName name="solver_itr" localSheetId="0" hidden="1">2147483647</definedName>
    <definedName name="solver_itr" localSheetId="1" hidden="1">2147483647</definedName>
    <definedName name="solver_lhs1" localSheetId="2" hidden="1">brouillon!$C$17</definedName>
    <definedName name="solver_lhs1" localSheetId="0" hidden="1">'opt var portefeuille'!$B$18</definedName>
    <definedName name="solver_lhs1" localSheetId="1" hidden="1">'var min portf sans cntr rend'!$C$18</definedName>
    <definedName name="solver_lhs2" localSheetId="2" hidden="1">brouillon!$C$19</definedName>
    <definedName name="solver_lhs2" localSheetId="0" hidden="1">'opt var portefeuille'!$B$20</definedName>
    <definedName name="solver_lhs2" localSheetId="1" hidden="1">'var min portf sans cntr rend'!$C$20</definedName>
    <definedName name="solver_lhs3" localSheetId="0" hidden="1">'opt var portefeuille'!$B$18</definedName>
    <definedName name="solver_lhs3" localSheetId="1" hidden="1">'var min portf sans cntr rend'!$C$20</definedName>
    <definedName name="solver_lhs4" localSheetId="0" hidden="1">'opt var portefeuille'!$B$20</definedName>
    <definedName name="solver_lhs4" localSheetId="1" hidden="1">'var min portf sans cntr rend'!$C$20</definedName>
    <definedName name="solver_lhs5" localSheetId="0" hidden="1">'opt var portefeuille'!$B$18</definedName>
    <definedName name="solver_lhs6" localSheetId="0" hidden="1">'opt var portefeuille'!$B$20</definedName>
    <definedName name="solver_lhs7" localSheetId="0" hidden="1">'opt var portefeuille'!$B$18</definedName>
    <definedName name="solver_lhs8" localSheetId="0" hidden="1">'opt var portefeuille'!$B$20</definedName>
    <definedName name="solver_mip" localSheetId="2" hidden="1">2147483647</definedName>
    <definedName name="solver_mip" localSheetId="0" hidden="1">2147483647</definedName>
    <definedName name="solver_mip" localSheetId="1" hidden="1">2147483647</definedName>
    <definedName name="solver_mni" localSheetId="2" hidden="1">30</definedName>
    <definedName name="solver_mni" localSheetId="0" hidden="1">30</definedName>
    <definedName name="solver_mni" localSheetId="1" hidden="1">30</definedName>
    <definedName name="solver_mrt" localSheetId="2" hidden="1">0.075</definedName>
    <definedName name="solver_mrt" localSheetId="0" hidden="1">0.075</definedName>
    <definedName name="solver_mrt" localSheetId="1" hidden="1">0.075</definedName>
    <definedName name="solver_msl" localSheetId="2" hidden="1">2</definedName>
    <definedName name="solver_msl" localSheetId="0" hidden="1">2</definedName>
    <definedName name="solver_msl" localSheetId="1" hidden="1">2</definedName>
    <definedName name="solver_neg" localSheetId="2" hidden="1">2</definedName>
    <definedName name="solver_neg" localSheetId="0" hidden="1">2</definedName>
    <definedName name="solver_neg" localSheetId="1" hidden="1">2</definedName>
    <definedName name="solver_nod" localSheetId="2" hidden="1">2147483647</definedName>
    <definedName name="solver_nod" localSheetId="0" hidden="1">2147483647</definedName>
    <definedName name="solver_nod" localSheetId="1" hidden="1">2147483647</definedName>
    <definedName name="solver_num" localSheetId="2" hidden="1">2</definedName>
    <definedName name="solver_num" localSheetId="0" hidden="1">2</definedName>
    <definedName name="solver_num" localSheetId="1" hidden="1">1</definedName>
    <definedName name="solver_nwt" localSheetId="2" hidden="1">1</definedName>
    <definedName name="solver_nwt" localSheetId="0" hidden="1">1</definedName>
    <definedName name="solver_nwt" localSheetId="1" hidden="1">1</definedName>
    <definedName name="solver_opt" localSheetId="2" hidden="1">brouillon!$C$21</definedName>
    <definedName name="solver_opt" localSheetId="0" hidden="1">'opt var portefeuille'!$B$20</definedName>
    <definedName name="solver_opt" localSheetId="1" hidden="1">'var min portf sans cntr rend'!$C$22</definedName>
    <definedName name="solver_pre" localSheetId="2" hidden="1">0.000001</definedName>
    <definedName name="solver_pre" localSheetId="0" hidden="1">0.000001</definedName>
    <definedName name="solver_pre" localSheetId="1" hidden="1">0.000001</definedName>
    <definedName name="solver_rbv" localSheetId="2" hidden="1">1</definedName>
    <definedName name="solver_rbv" localSheetId="0" hidden="1">2</definedName>
    <definedName name="solver_rbv" localSheetId="1" hidden="1">2</definedName>
    <definedName name="solver_rel1" localSheetId="2" hidden="1">2</definedName>
    <definedName name="solver_rel1" localSheetId="0" hidden="1">2</definedName>
    <definedName name="solver_rel1" localSheetId="1" hidden="1">2</definedName>
    <definedName name="solver_rel2" localSheetId="2" hidden="1">2</definedName>
    <definedName name="solver_rel2" localSheetId="0" hidden="1">2</definedName>
    <definedName name="solver_rel2" localSheetId="1" hidden="1">2</definedName>
    <definedName name="solver_rel3" localSheetId="0" hidden="1">2</definedName>
    <definedName name="solver_rel3" localSheetId="1" hidden="1">2</definedName>
    <definedName name="solver_rel4" localSheetId="0" hidden="1">2</definedName>
    <definedName name="solver_rel4" localSheetId="1" hidden="1">2</definedName>
    <definedName name="solver_rel5" localSheetId="0" hidden="1">2</definedName>
    <definedName name="solver_rel6" localSheetId="0" hidden="1">2</definedName>
    <definedName name="solver_rel7" localSheetId="0" hidden="1">2</definedName>
    <definedName name="solver_rel8" localSheetId="0" hidden="1">2</definedName>
    <definedName name="solver_rhs1" localSheetId="2" hidden="1">1</definedName>
    <definedName name="solver_rhs1" localSheetId="0" hidden="1">1</definedName>
    <definedName name="solver_rhs1" localSheetId="1" hidden="1">1</definedName>
    <definedName name="solver_rhs2" localSheetId="2" hidden="1">brouillon!$C$10</definedName>
    <definedName name="solver_rhs2" localSheetId="0" hidden="1">'opt var portefeuille'!$U$196</definedName>
    <definedName name="solver_rhs2" localSheetId="1" hidden="1">'var min portf sans cntr rend'!$C$10</definedName>
    <definedName name="solver_rhs3" localSheetId="0" hidden="1">1</definedName>
    <definedName name="solver_rhs3" localSheetId="1" hidden="1">'var min portf sans cntr rend'!$C$10</definedName>
    <definedName name="solver_rhs4" localSheetId="0" hidden="1">'opt var portefeuille'!$B$10</definedName>
    <definedName name="solver_rhs4" localSheetId="1" hidden="1">'var min portf sans cntr rend'!$C$10</definedName>
    <definedName name="solver_rhs5" localSheetId="0" hidden="1">1</definedName>
    <definedName name="solver_rhs6" localSheetId="0" hidden="1">'opt var portefeuille'!$B$10</definedName>
    <definedName name="solver_rhs7" localSheetId="0" hidden="1">1</definedName>
    <definedName name="solver_rhs8" localSheetId="0" hidden="1">'opt var portefeuille'!$B$10</definedName>
    <definedName name="solver_rlx" localSheetId="2" hidden="1">2</definedName>
    <definedName name="solver_rlx" localSheetId="0" hidden="1">2</definedName>
    <definedName name="solver_rlx" localSheetId="1" hidden="1">2</definedName>
    <definedName name="solver_rsd" localSheetId="2" hidden="1">0</definedName>
    <definedName name="solver_rsd" localSheetId="0" hidden="1">0</definedName>
    <definedName name="solver_rsd" localSheetId="1" hidden="1">0</definedName>
    <definedName name="solver_scl" localSheetId="2" hidden="1">1</definedName>
    <definedName name="solver_scl" localSheetId="0" hidden="1">2</definedName>
    <definedName name="solver_scl" localSheetId="1" hidden="1">2</definedName>
    <definedName name="solver_sho" localSheetId="2" hidden="1">2</definedName>
    <definedName name="solver_sho" localSheetId="0" hidden="1">2</definedName>
    <definedName name="solver_sho" localSheetId="1" hidden="1">2</definedName>
    <definedName name="solver_ssz" localSheetId="2" hidden="1">100</definedName>
    <definedName name="solver_ssz" localSheetId="0" hidden="1">100</definedName>
    <definedName name="solver_ssz" localSheetId="1" hidden="1">100</definedName>
    <definedName name="solver_tim" localSheetId="2" hidden="1">2147483647</definedName>
    <definedName name="solver_tim" localSheetId="0" hidden="1">2147483647</definedName>
    <definedName name="solver_tim" localSheetId="1" hidden="1">2147483647</definedName>
    <definedName name="solver_tol" localSheetId="2" hidden="1">0.01</definedName>
    <definedName name="solver_tol" localSheetId="0" hidden="1">0.01</definedName>
    <definedName name="solver_tol" localSheetId="1" hidden="1">0.01</definedName>
    <definedName name="solver_typ" localSheetId="2" hidden="1">2</definedName>
    <definedName name="solver_typ" localSheetId="0" hidden="1">2</definedName>
    <definedName name="solver_typ" localSheetId="1" hidden="1">2</definedName>
    <definedName name="solver_val" localSheetId="2" hidden="1">0</definedName>
    <definedName name="solver_val" localSheetId="0" hidden="1">0</definedName>
    <definedName name="solver_val" localSheetId="1" hidden="1">0</definedName>
    <definedName name="solver_ver" localSheetId="2" hidden="1">3</definedName>
    <definedName name="solver_ver" localSheetId="0" hidden="1">3</definedName>
    <definedName name="solver_ver" localSheetId="1" hidden="1">3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2" i="4" l="1"/>
  <c r="O2" i="4"/>
  <c r="N2" i="4"/>
  <c r="M2" i="4"/>
  <c r="L6" i="4"/>
  <c r="L5" i="4"/>
  <c r="L4" i="4"/>
  <c r="L3" i="4"/>
  <c r="F6" i="4"/>
  <c r="F5" i="4"/>
  <c r="F4" i="4"/>
  <c r="F3" i="4"/>
  <c r="J2" i="4"/>
  <c r="I2" i="4"/>
  <c r="H2" i="4"/>
  <c r="G2" i="4"/>
  <c r="Y2" i="4" l="1"/>
  <c r="X2" i="4"/>
  <c r="W2" i="4"/>
  <c r="V2" i="4"/>
  <c r="B18" i="4" l="1"/>
  <c r="B20" i="4" l="1"/>
  <c r="C17" i="4"/>
  <c r="C16" i="4"/>
  <c r="C15" i="4"/>
  <c r="C14" i="4"/>
  <c r="D6" i="4"/>
  <c r="C6" i="4"/>
  <c r="H6" i="4" s="1"/>
  <c r="D5" i="4"/>
  <c r="C5" i="4"/>
  <c r="H5" i="4" s="1"/>
  <c r="D4" i="4"/>
  <c r="C4" i="4"/>
  <c r="D3" i="4"/>
  <c r="C3" i="4"/>
  <c r="G5" i="4" s="1"/>
  <c r="G4" i="4" l="1"/>
  <c r="B22" i="4" s="1"/>
  <c r="B23" i="4" s="1"/>
  <c r="G6" i="4"/>
  <c r="I6" i="4"/>
  <c r="C20" i="2"/>
  <c r="C18" i="2"/>
  <c r="D17" i="2"/>
  <c r="D16" i="2"/>
  <c r="D15" i="2"/>
  <c r="D14" i="2"/>
  <c r="M6" i="2"/>
  <c r="G6" i="2"/>
  <c r="E6" i="2"/>
  <c r="D6" i="2"/>
  <c r="I6" i="2" s="1"/>
  <c r="M5" i="2"/>
  <c r="I5" i="2"/>
  <c r="G5" i="2"/>
  <c r="E5" i="2"/>
  <c r="D5" i="2"/>
  <c r="J6" i="2" s="1"/>
  <c r="M4" i="2"/>
  <c r="H4" i="2"/>
  <c r="G4" i="2"/>
  <c r="E4" i="2"/>
  <c r="D4" i="2"/>
  <c r="M3" i="2"/>
  <c r="G3" i="2"/>
  <c r="E3" i="2"/>
  <c r="D3" i="2"/>
  <c r="H5" i="2" s="1"/>
  <c r="Q2" i="2"/>
  <c r="P2" i="2"/>
  <c r="O2" i="2"/>
  <c r="N2" i="2"/>
  <c r="K2" i="2"/>
  <c r="J2" i="2"/>
  <c r="I2" i="2"/>
  <c r="H2" i="2"/>
  <c r="C21" i="1"/>
  <c r="C22" i="1" s="1"/>
  <c r="C19" i="1"/>
  <c r="E6" i="1"/>
  <c r="E5" i="1"/>
  <c r="E4" i="1"/>
  <c r="E3" i="1"/>
  <c r="C17" i="1"/>
  <c r="D16" i="1"/>
  <c r="D15" i="1"/>
  <c r="D14" i="1"/>
  <c r="D13" i="1"/>
  <c r="I5" i="1"/>
  <c r="H4" i="1"/>
  <c r="H6" i="1"/>
  <c r="H5" i="1"/>
  <c r="D6" i="1"/>
  <c r="D5" i="1"/>
  <c r="J6" i="1" s="1"/>
  <c r="D4" i="1"/>
  <c r="I6" i="1" s="1"/>
  <c r="D3" i="1"/>
  <c r="M6" i="1"/>
  <c r="M5" i="1"/>
  <c r="M4" i="1"/>
  <c r="M3" i="1"/>
  <c r="Q2" i="1"/>
  <c r="P2" i="1"/>
  <c r="O2" i="1"/>
  <c r="N2" i="1"/>
  <c r="K2" i="1"/>
  <c r="J2" i="1"/>
  <c r="I2" i="1"/>
  <c r="H2" i="1"/>
  <c r="G6" i="1"/>
  <c r="G5" i="1"/>
  <c r="G4" i="1"/>
  <c r="G3" i="1"/>
  <c r="H6" i="2" l="1"/>
  <c r="C22" i="2" s="1"/>
  <c r="C23" i="2" s="1"/>
</calcChain>
</file>

<file path=xl/sharedStrings.xml><?xml version="1.0" encoding="utf-8"?>
<sst xmlns="http://schemas.openxmlformats.org/spreadsheetml/2006/main" count="68" uniqueCount="25">
  <si>
    <t>Données</t>
  </si>
  <si>
    <t>titre</t>
  </si>
  <si>
    <t>nom</t>
  </si>
  <si>
    <t>rendement moyen</t>
  </si>
  <si>
    <t>volatilité du rendement</t>
  </si>
  <si>
    <t>Titre A</t>
  </si>
  <si>
    <t>Titre B</t>
  </si>
  <si>
    <t>Titre C</t>
  </si>
  <si>
    <t>Titre D</t>
  </si>
  <si>
    <t>CORRELATION</t>
  </si>
  <si>
    <t>MATRICE VARIANCE-COVARIANCE</t>
  </si>
  <si>
    <t>Portefeuille optimal pour rendement souhaité</t>
  </si>
  <si>
    <t>rendement moyen désiré :</t>
  </si>
  <si>
    <t>poids du portefeuille</t>
  </si>
  <si>
    <t>w1</t>
  </si>
  <si>
    <t>w2</t>
  </si>
  <si>
    <t>w3</t>
  </si>
  <si>
    <t>somme</t>
  </si>
  <si>
    <t>w4</t>
  </si>
  <si>
    <t>variance</t>
  </si>
  <si>
    <t xml:space="preserve">volatilité (écart-type) </t>
  </si>
  <si>
    <t>rendement</t>
  </si>
  <si>
    <t xml:space="preserve"> </t>
  </si>
  <si>
    <t>ecart type</t>
  </si>
  <si>
    <t>Portefeuille optimal  sans contrainte de rendement moyen desiré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</si>
</sst>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 * #,##0.00_)_ ;_ * \(#,##0.00\)_ ;_ * &quot;-&quot;??_)_ ;_ @_ "/>
    <numFmt numFmtId="164" formatCode="0.000"/>
    <numFmt numFmtId="165" formatCode="_ * #,##0.000_)_ ;_ * \(#,##0.000\)_ ;_ * &quot;-&quot;??_)_ ;_ @_ "/>
    <numFmt numFmtId="166" formatCode="_ * #,##0.000_)\ _$_ ;_ * \(#,##0.000\)\ _$_ ;_ * &quot;-&quot;???_)\ _$_ ;_ @_ "/>
    <numFmt numFmtId="167" formatCode="_ * #,##0.0000_)_ ;_ * \(#,##0.0000\)_ ;_ * &quot;-&quot;??_)_ ;_ @_ "/>
    <numFmt numFmtId="168" formatCode="_ * #,##0.00000_)\ _$_ ;_ * \(#,##0.00000\)\ _$_ ;_ * &quot;-&quot;???_)\ _$_ ;_ @_ "/>
    <numFmt numFmtId="169" formatCode="0.00000"/>
    <numFmt numFmtId="170" formatCode="0.000000"/>
    <numFmt numFmtId="171" formatCode="0.0000"/>
    <numFmt numFmtId="172" formatCode="0.000000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5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sz val="12"/>
      <name val="Calibri"/>
      <family val="2"/>
      <scheme val="minor"/>
    </font>
    <font>
      <sz val="11"/>
      <color rgb="FF00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3EDED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3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10" fontId="5" fillId="0" borderId="0" xfId="2" applyNumberFormat="1" applyFont="1" applyBorder="1" applyAlignment="1">
      <alignment horizontal="right" vertical="center" wrapText="1"/>
    </xf>
    <xf numFmtId="10" fontId="5" fillId="0" borderId="7" xfId="2" applyNumberFormat="1" applyFont="1" applyBorder="1" applyAlignment="1">
      <alignment horizontal="right" vertical="center" wrapText="1"/>
    </xf>
    <xf numFmtId="0" fontId="5" fillId="0" borderId="0" xfId="0" applyFont="1"/>
    <xf numFmtId="0" fontId="5" fillId="0" borderId="2" xfId="0" applyFont="1" applyBorder="1"/>
    <xf numFmtId="0" fontId="5" fillId="0" borderId="4" xfId="0" applyFont="1" applyBorder="1"/>
    <xf numFmtId="0" fontId="5" fillId="0" borderId="5" xfId="0" applyFont="1" applyBorder="1"/>
    <xf numFmtId="0" fontId="5" fillId="0" borderId="8" xfId="0" applyFont="1" applyBorder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4" fillId="0" borderId="1" xfId="0" applyFont="1" applyBorder="1" applyAlignment="1">
      <alignment horizontal="left" vertical="top" wrapText="1"/>
    </xf>
    <xf numFmtId="0" fontId="4" fillId="0" borderId="4" xfId="0" applyFont="1" applyBorder="1"/>
    <xf numFmtId="0" fontId="4" fillId="0" borderId="6" xfId="0" applyFont="1" applyBorder="1"/>
    <xf numFmtId="0" fontId="4" fillId="0" borderId="2" xfId="0" applyFont="1" applyBorder="1"/>
    <xf numFmtId="0" fontId="2" fillId="0" borderId="3" xfId="0" applyFont="1" applyBorder="1"/>
    <xf numFmtId="0" fontId="4" fillId="0" borderId="1" xfId="0" applyFont="1" applyBorder="1" applyAlignment="1">
      <alignment vertical="top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10" fontId="5" fillId="2" borderId="0" xfId="0" applyNumberFormat="1" applyFont="1" applyFill="1"/>
    <xf numFmtId="10" fontId="0" fillId="2" borderId="8" xfId="0" applyNumberFormat="1" applyFill="1" applyBorder="1"/>
    <xf numFmtId="165" fontId="5" fillId="0" borderId="5" xfId="1" applyNumberFormat="1" applyFont="1" applyBorder="1" applyAlignment="1">
      <alignment horizontal="center" vertical="center" wrapText="1"/>
    </xf>
    <xf numFmtId="165" fontId="5" fillId="0" borderId="8" xfId="1" applyNumberFormat="1" applyFont="1" applyBorder="1" applyAlignment="1">
      <alignment horizontal="center" vertical="center" wrapText="1"/>
    </xf>
    <xf numFmtId="10" fontId="5" fillId="3" borderId="0" xfId="0" applyNumberFormat="1" applyFont="1" applyFill="1" applyProtection="1">
      <protection locked="0"/>
    </xf>
    <xf numFmtId="10" fontId="5" fillId="3" borderId="0" xfId="0" applyNumberFormat="1" applyFont="1" applyFill="1"/>
    <xf numFmtId="10" fontId="5" fillId="4" borderId="0" xfId="0" applyNumberFormat="1" applyFont="1" applyFill="1" applyProtection="1">
      <protection locked="0"/>
    </xf>
    <xf numFmtId="10" fontId="5" fillId="4" borderId="0" xfId="0" applyNumberFormat="1" applyFont="1" applyFill="1"/>
    <xf numFmtId="10" fontId="0" fillId="5" borderId="7" xfId="0" applyNumberFormat="1" applyFill="1" applyBorder="1"/>
    <xf numFmtId="10" fontId="0" fillId="5" borderId="5" xfId="0" applyNumberFormat="1" applyFill="1" applyBorder="1"/>
    <xf numFmtId="10" fontId="5" fillId="6" borderId="0" xfId="0" applyNumberFormat="1" applyFont="1" applyFill="1" applyProtection="1">
      <protection locked="0"/>
    </xf>
    <xf numFmtId="10" fontId="0" fillId="7" borderId="7" xfId="0" applyNumberFormat="1" applyFill="1" applyBorder="1"/>
    <xf numFmtId="10" fontId="0" fillId="7" borderId="5" xfId="0" applyNumberFormat="1" applyFill="1" applyBorder="1"/>
    <xf numFmtId="10" fontId="0" fillId="8" borderId="7" xfId="0" applyNumberFormat="1" applyFill="1" applyBorder="1"/>
    <xf numFmtId="10" fontId="0" fillId="8" borderId="5" xfId="0" applyNumberFormat="1" applyFill="1" applyBorder="1"/>
    <xf numFmtId="0" fontId="5" fillId="0" borderId="7" xfId="0" applyFont="1" applyBorder="1"/>
    <xf numFmtId="164" fontId="5" fillId="0" borderId="7" xfId="0" applyNumberFormat="1" applyFont="1" applyBorder="1"/>
    <xf numFmtId="164" fontId="5" fillId="0" borderId="0" xfId="0" applyNumberFormat="1" applyFont="1" applyProtection="1">
      <protection locked="0"/>
    </xf>
    <xf numFmtId="0" fontId="6" fillId="0" borderId="0" xfId="0" applyFont="1"/>
    <xf numFmtId="0" fontId="7" fillId="0" borderId="0" xfId="0" applyFont="1"/>
    <xf numFmtId="0" fontId="0" fillId="9" borderId="0" xfId="0" applyFill="1"/>
    <xf numFmtId="0" fontId="0" fillId="0" borderId="2" xfId="0" applyBorder="1"/>
    <xf numFmtId="0" fontId="0" fillId="0" borderId="4" xfId="0" applyBorder="1"/>
    <xf numFmtId="0" fontId="0" fillId="10" borderId="0" xfId="0" applyFill="1"/>
    <xf numFmtId="0" fontId="4" fillId="0" borderId="1" xfId="0" applyFont="1" applyBorder="1"/>
    <xf numFmtId="0" fontId="2" fillId="0" borderId="5" xfId="0" applyFont="1" applyBorder="1"/>
    <xf numFmtId="0" fontId="0" fillId="7" borderId="0" xfId="0" applyFill="1"/>
    <xf numFmtId="10" fontId="0" fillId="0" borderId="0" xfId="0" applyNumberFormat="1"/>
    <xf numFmtId="165" fontId="5" fillId="0" borderId="0" xfId="1" applyNumberFormat="1" applyFont="1" applyBorder="1" applyAlignment="1">
      <alignment horizontal="center" vertical="center" wrapText="1"/>
    </xf>
    <xf numFmtId="0" fontId="2" fillId="0" borderId="0" xfId="0" applyFont="1"/>
    <xf numFmtId="165" fontId="5" fillId="0" borderId="7" xfId="1" applyNumberFormat="1" applyFont="1" applyBorder="1" applyAlignment="1">
      <alignment horizontal="center" vertical="center" wrapText="1"/>
    </xf>
    <xf numFmtId="166" fontId="0" fillId="0" borderId="0" xfId="0" applyNumberFormat="1"/>
    <xf numFmtId="43" fontId="5" fillId="0" borderId="0" xfId="1" applyFont="1" applyBorder="1" applyAlignment="1">
      <alignment horizontal="center" vertical="center" wrapText="1"/>
    </xf>
    <xf numFmtId="43" fontId="5" fillId="0" borderId="7" xfId="1" applyFont="1" applyBorder="1" applyAlignment="1">
      <alignment horizontal="center" vertical="center" wrapText="1"/>
    </xf>
    <xf numFmtId="167" fontId="5" fillId="0" borderId="0" xfId="1" applyNumberFormat="1" applyFont="1" applyBorder="1" applyAlignment="1">
      <alignment horizontal="right" vertical="center" wrapText="1"/>
    </xf>
    <xf numFmtId="167" fontId="5" fillId="0" borderId="7" xfId="1" applyNumberFormat="1" applyFont="1" applyBorder="1" applyAlignment="1">
      <alignment horizontal="right" vertical="center" wrapText="1"/>
    </xf>
    <xf numFmtId="0" fontId="4" fillId="0" borderId="3" xfId="0" applyFont="1" applyBorder="1"/>
    <xf numFmtId="168" fontId="0" fillId="0" borderId="0" xfId="0" applyNumberFormat="1"/>
    <xf numFmtId="169" fontId="0" fillId="0" borderId="0" xfId="0" applyNumberFormat="1"/>
    <xf numFmtId="170" fontId="0" fillId="0" borderId="7" xfId="0" applyNumberFormat="1" applyBorder="1"/>
    <xf numFmtId="171" fontId="0" fillId="7" borderId="0" xfId="0" applyNumberFormat="1" applyFill="1"/>
    <xf numFmtId="170" fontId="0" fillId="11" borderId="0" xfId="0" applyNumberFormat="1" applyFill="1"/>
    <xf numFmtId="0" fontId="0" fillId="11" borderId="0" xfId="0" applyFill="1"/>
    <xf numFmtId="172" fontId="0" fillId="7" borderId="0" xfId="0" applyNumberFormat="1" applyFill="1"/>
  </cellXfs>
  <cellStyles count="3">
    <cellStyle name="Milliers" xfId="1" builtinId="3"/>
    <cellStyle name="Normal" xfId="0" builtinId="0"/>
    <cellStyle name="Pourcentage" xfId="2" builtinId="5"/>
  </cellStyles>
  <dxfs count="0"/>
  <tableStyles count="0" defaultTableStyle="TableStyleMedium2" defaultPivotStyle="PivotStyleLight16"/>
  <colors>
    <mruColors>
      <color rgb="FF03ED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CA"/>
              <a:t>risque-retour</a:t>
            </a:r>
          </a:p>
        </c:rich>
      </c:tx>
      <c:layout>
        <c:manualLayout>
          <c:xMode val="edge"/>
          <c:yMode val="edge"/>
          <c:x val="0.33264491192332302"/>
          <c:y val="2.510461078134312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115B538-9EA2-4CA3-BFB5-86920E8E43D1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D9D3-4370-A771-E2298677693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CA27D41-352C-4387-BBD4-0E419E959149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9D3-4370-A771-E2298677693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9FEB283-01DB-4604-A26B-C4206FD6DDCE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9D3-4370-A771-E2298677693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E7E03B-C3EF-43F6-B012-3866AC1B2085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9D3-4370-A771-E229867769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'var min portf sans cntr rend'!$D$3:$D$6</c:f>
              <c:numCache>
                <c:formatCode>_(* #,##0.00_);_(* \(#,##0.00\);_(* "-"??_);_(@_)</c:formatCode>
                <c:ptCount val="4"/>
                <c:pt idx="0">
                  <c:v>0.29068883707497267</c:v>
                </c:pt>
                <c:pt idx="1">
                  <c:v>0.34496376621320679</c:v>
                </c:pt>
                <c:pt idx="2">
                  <c:v>0.37549966711037175</c:v>
                </c:pt>
                <c:pt idx="3">
                  <c:v>0.41509035161034519</c:v>
                </c:pt>
              </c:numCache>
            </c:numRef>
          </c:xVal>
          <c:yVal>
            <c:numRef>
              <c:f>'var min portf sans cntr rend'!$C$3:$C$6</c:f>
              <c:numCache>
                <c:formatCode>_ * #\ ##0.0000_)_ ;_ * \(#\ ##0.0000\)_ ;_ * "-"??_)_ ;_ @_ </c:formatCode>
                <c:ptCount val="4"/>
                <c:pt idx="0">
                  <c:v>7.2499999999999995E-2</c:v>
                </c:pt>
                <c:pt idx="1">
                  <c:v>0.10050000000000001</c:v>
                </c:pt>
                <c:pt idx="2">
                  <c:v>0.124</c:v>
                </c:pt>
                <c:pt idx="3">
                  <c:v>0.14249999999999999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'var min portf sans cntr rend'!$B$3:$B$6</c15:f>
                <c15:dlblRangeCache>
                  <c:ptCount val="4"/>
                  <c:pt idx="0">
                    <c:v>Titre A</c:v>
                  </c:pt>
                  <c:pt idx="1">
                    <c:v>Titre B</c:v>
                  </c:pt>
                  <c:pt idx="2">
                    <c:v>Titre C</c:v>
                  </c:pt>
                  <c:pt idx="3">
                    <c:v>Titre 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D9D3-4370-A771-E22986776932}"/>
            </c:ext>
          </c:extLst>
        </c:ser>
        <c:ser>
          <c:idx val="1"/>
          <c:order val="1"/>
          <c:tx>
            <c:strRef>
              <c:f>'var min portf sans cntr rend'!$A$8</c:f>
              <c:strCache>
                <c:ptCount val="1"/>
                <c:pt idx="0">
                  <c:v>Portefeuille optimal  sans contrainte de rendement moyen desiré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0.20450278404768971"/>
                  <c:y val="0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9D3-4370-A771-E229867769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'var min portf sans cntr rend'!$C$23</c:f>
              <c:numCache>
                <c:formatCode>0.000000</c:formatCode>
                <c:ptCount val="1"/>
                <c:pt idx="0">
                  <c:v>0.24313071918217613</c:v>
                </c:pt>
              </c:numCache>
            </c:numRef>
          </c:xVal>
          <c:yVal>
            <c:numRef>
              <c:f>'var min portf sans cntr rend'!$C$20</c:f>
              <c:numCache>
                <c:formatCode>General</c:formatCode>
                <c:ptCount val="1"/>
                <c:pt idx="0">
                  <c:v>6.2465013677933667E-2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9D3-4370-A771-E22986776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45896"/>
        <c:axId val="538751800"/>
      </c:scatterChart>
      <c:valAx>
        <c:axId val="538745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A"/>
                  <a:t>volatilite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8751800"/>
        <c:crosses val="autoZero"/>
        <c:crossBetween val="midCat"/>
      </c:valAx>
      <c:valAx>
        <c:axId val="538751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A"/>
                  <a:t>Rendement</a:t>
                </a:r>
                <a:r>
                  <a:rPr lang="fr-CA" baseline="0"/>
                  <a:t> moyen</a:t>
                </a:r>
                <a:endParaRPr lang="fr-C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_ * #\ ##0.0000_)_ ;_ * \(#\ ##0.0000\)_ ;_ * &quot;-&quot;??_)_ ;_ @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8745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CA"/>
              <a:t>Risque-retour et Frontiere efficace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'opt var portefeuille'!$T$3:$T$193</c:f>
              <c:numCache>
                <c:formatCode>General</c:formatCode>
                <c:ptCount val="191"/>
                <c:pt idx="0">
                  <c:v>0.30517094151587082</c:v>
                </c:pt>
                <c:pt idx="1">
                  <c:v>0.30305926754425638</c:v>
                </c:pt>
                <c:pt idx="2">
                  <c:v>0.30097384205797856</c:v>
                </c:pt>
                <c:pt idx="3">
                  <c:v>0.2989152118649272</c:v>
                </c:pt>
                <c:pt idx="4">
                  <c:v>0.29688393419817888</c:v>
                </c:pt>
                <c:pt idx="5">
                  <c:v>0.294880574539991</c:v>
                </c:pt>
                <c:pt idx="6">
                  <c:v>0.29290570556352968</c:v>
                </c:pt>
                <c:pt idx="7">
                  <c:v>0.29095990746228845</c:v>
                </c:pt>
                <c:pt idx="8">
                  <c:v>0.28904376733882281</c:v>
                </c:pt>
                <c:pt idx="9">
                  <c:v>0.28715787884441712</c:v>
                </c:pt>
                <c:pt idx="10">
                  <c:v>0.28530284203949774</c:v>
                </c:pt>
                <c:pt idx="11">
                  <c:v>0.28347926242893767</c:v>
                </c:pt>
                <c:pt idx="12">
                  <c:v>0.28168775100606686</c:v>
                </c:pt>
                <c:pt idx="13">
                  <c:v>0.27992892342035192</c:v>
                </c:pt>
                <c:pt idx="14">
                  <c:v>0.27820339966271657</c:v>
                </c:pt>
                <c:pt idx="15">
                  <c:v>0.27651180321032565</c:v>
                </c:pt>
                <c:pt idx="16">
                  <c:v>0.27485476034009387</c:v>
                </c:pt>
                <c:pt idx="17">
                  <c:v>0.27323289985415478</c:v>
                </c:pt>
                <c:pt idx="18">
                  <c:v>0.27164685191595361</c:v>
                </c:pt>
                <c:pt idx="19">
                  <c:v>0.2700972472821479</c:v>
                </c:pt>
                <c:pt idx="20">
                  <c:v>0.26858471686783997</c:v>
                </c:pt>
                <c:pt idx="21">
                  <c:v>0.26710989047678613</c:v>
                </c:pt>
                <c:pt idx="22">
                  <c:v>0.26567339594271561</c:v>
                </c:pt>
                <c:pt idx="23">
                  <c:v>0.26427585833877526</c:v>
                </c:pt>
                <c:pt idx="24">
                  <c:v>0.26291789897024204</c:v>
                </c:pt>
                <c:pt idx="25">
                  <c:v>0.26160013414621469</c:v>
                </c:pt>
                <c:pt idx="26">
                  <c:v>0.2603231742658873</c:v>
                </c:pt>
                <c:pt idx="27">
                  <c:v>0.25908762267345126</c:v>
                </c:pt>
                <c:pt idx="28">
                  <c:v>0.25789407455465885</c:v>
                </c:pt>
                <c:pt idx="29">
                  <c:v>0.25674311564040975</c:v>
                </c:pt>
                <c:pt idx="30">
                  <c:v>0.25563532118955345</c:v>
                </c:pt>
                <c:pt idx="31">
                  <c:v>0.25457125479895298</c:v>
                </c:pt>
                <c:pt idx="32">
                  <c:v>0.25355146691104063</c:v>
                </c:pt>
                <c:pt idx="33">
                  <c:v>0.252576493859273</c:v>
                </c:pt>
                <c:pt idx="34">
                  <c:v>0.2516468566123497</c:v>
                </c:pt>
                <c:pt idx="35">
                  <c:v>0.25076305930137782</c:v>
                </c:pt>
                <c:pt idx="36">
                  <c:v>0.24992558825710007</c:v>
                </c:pt>
                <c:pt idx="37">
                  <c:v>0.24913491063794402</c:v>
                </c:pt>
                <c:pt idx="38">
                  <c:v>0.24839147334613554</c:v>
                </c:pt>
                <c:pt idx="39">
                  <c:v>0.24769578664245481</c:v>
                </c:pt>
                <c:pt idx="40">
                  <c:v>0.24704799849672637</c:v>
                </c:pt>
                <c:pt idx="41">
                  <c:v>0.24644880975640956</c:v>
                </c:pt>
                <c:pt idx="42">
                  <c:v>0.2458982884104752</c:v>
                </c:pt>
                <c:pt idx="43">
                  <c:v>0.24539696415382756</c:v>
                </c:pt>
                <c:pt idx="44">
                  <c:v>0.24494507155150069</c:v>
                </c:pt>
                <c:pt idx="45">
                  <c:v>0.24454288463781701</c:v>
                </c:pt>
                <c:pt idx="46">
                  <c:v>0.24419067365837202</c:v>
                </c:pt>
                <c:pt idx="47">
                  <c:v>0.24388858109989286</c:v>
                </c:pt>
                <c:pt idx="48">
                  <c:v>0.24363687929721592</c:v>
                </c:pt>
                <c:pt idx="49">
                  <c:v>0.24343566441086695</c:v>
                </c:pt>
                <c:pt idx="50">
                  <c:v>0.24328510043873713</c:v>
                </c:pt>
                <c:pt idx="51">
                  <c:v>0.24318525978374397</c:v>
                </c:pt>
                <c:pt idx="52" formatCode="0.000000">
                  <c:v>0.2431362148133383</c:v>
                </c:pt>
                <c:pt idx="53">
                  <c:v>0.24313799291290017</c:v>
                </c:pt>
                <c:pt idx="54">
                  <c:v>0.24319059303513765</c:v>
                </c:pt>
                <c:pt idx="55">
                  <c:v>0.24329398755221515</c:v>
                </c:pt>
                <c:pt idx="56">
                  <c:v>0.24344810489816943</c:v>
                </c:pt>
                <c:pt idx="57">
                  <c:v>0.24365283724815739</c:v>
                </c:pt>
                <c:pt idx="58">
                  <c:v>0.24390807939603176</c:v>
                </c:pt>
                <c:pt idx="59">
                  <c:v>0.24421366378344592</c:v>
                </c:pt>
                <c:pt idx="60">
                  <c:v>0.24456943720021102</c:v>
                </c:pt>
                <c:pt idx="61">
                  <c:v>0.24497511314571679</c:v>
                </c:pt>
                <c:pt idx="62">
                  <c:v>0.24543048075463533</c:v>
                </c:pt>
                <c:pt idx="63">
                  <c:v>0.24593520690681475</c:v>
                </c:pt>
                <c:pt idx="64">
                  <c:v>0.24648915434098137</c:v>
                </c:pt>
                <c:pt idx="65">
                  <c:v>0.247091743961807</c:v>
                </c:pt>
                <c:pt idx="66">
                  <c:v>0.2477428229720583</c:v>
                </c:pt>
                <c:pt idx="67">
                  <c:v>0.24844203425500511</c:v>
                </c:pt>
                <c:pt idx="68">
                  <c:v>0.24918869958714981</c:v>
                </c:pt>
                <c:pt idx="69">
                  <c:v>0.24998266593134222</c:v>
                </c:pt>
                <c:pt idx="70">
                  <c:v>0.25082339368524736</c:v>
                </c:pt>
                <c:pt idx="71">
                  <c:v>0.25171041428910457</c:v>
                </c:pt>
                <c:pt idx="72">
                  <c:v>0.25264336465426329</c:v>
                </c:pt>
                <c:pt idx="73">
                  <c:v>0.25362136584199241</c:v>
                </c:pt>
                <c:pt idx="74">
                  <c:v>0.25464426935626644</c:v>
                </c:pt>
                <c:pt idx="75">
                  <c:v>0.255711413336279</c:v>
                </c:pt>
                <c:pt idx="76">
                  <c:v>0.25682224629703276</c:v>
                </c:pt>
                <c:pt idx="77">
                  <c:v>0.25797620387126435</c:v>
                </c:pt>
                <c:pt idx="78">
                  <c:v>0.25917286243425214</c:v>
                </c:pt>
                <c:pt idx="79">
                  <c:v>0.26041117827840926</c:v>
                </c:pt>
                <c:pt idx="80">
                  <c:v>0.2616911719393652</c:v>
                </c:pt>
                <c:pt idx="81">
                  <c:v>0.26301160987912403</c:v>
                </c:pt>
                <c:pt idx="82">
                  <c:v>0.26437252322129062</c:v>
                </c:pt>
                <c:pt idx="83">
                  <c:v>0.26577264201326206</c:v>
                </c:pt>
                <c:pt idx="84">
                  <c:v>0.26721200815651286</c:v>
                </c:pt>
                <c:pt idx="85">
                  <c:v>0.26868945683137935</c:v>
                </c:pt>
                <c:pt idx="86">
                  <c:v>0.27020460372559374</c:v>
                </c:pt>
                <c:pt idx="87">
                  <c:v>0.27175664356737611</c:v>
                </c:pt>
                <c:pt idx="88">
                  <c:v>0.27334539373977873</c:v>
                </c:pt>
                <c:pt idx="89">
                  <c:v>0.27496956030264919</c:v>
                </c:pt>
                <c:pt idx="90">
                  <c:v>0.27662904114823245</c:v>
                </c:pt>
                <c:pt idx="91">
                  <c:v>0.27832303176637718</c:v>
                </c:pt>
                <c:pt idx="92">
                  <c:v>0.28005090591679738</c:v>
                </c:pt>
                <c:pt idx="93">
                  <c:v>0.28181204034990176</c:v>
                </c:pt>
                <c:pt idx="94">
                  <c:v>0.28360581544758845</c:v>
                </c:pt>
                <c:pt idx="95">
                  <c:v>0.28543161582657578</c:v>
                </c:pt>
                <c:pt idx="96">
                  <c:v>0.28728883089881851</c:v>
                </c:pt>
                <c:pt idx="97">
                  <c:v>0.28917685538993471</c:v>
                </c:pt>
                <c:pt idx="98">
                  <c:v>0.29109527217742281</c:v>
                </c:pt>
                <c:pt idx="99">
                  <c:v>0.29304307221394954</c:v>
                </c:pt>
                <c:pt idx="100">
                  <c:v>0.29501995346902071</c:v>
                </c:pt>
                <c:pt idx="101">
                  <c:v>0.29702528371822529</c:v>
                </c:pt>
                <c:pt idx="102">
                  <c:v>0.29905836334815067</c:v>
                </c:pt>
                <c:pt idx="103">
                  <c:v>0.30111906829800522</c:v>
                </c:pt>
                <c:pt idx="104">
                  <c:v>0.30320616600594141</c:v>
                </c:pt>
                <c:pt idx="105">
                  <c:v>0.30531965337827305</c:v>
                </c:pt>
                <c:pt idx="106">
                  <c:v>0.30745880808082798</c:v>
                </c:pt>
                <c:pt idx="107">
                  <c:v>0.30962309810815841</c:v>
                </c:pt>
                <c:pt idx="108">
                  <c:v>0.31181200006714033</c:v>
                </c:pt>
                <c:pt idx="109">
                  <c:v>0.31402517872897162</c:v>
                </c:pt>
                <c:pt idx="110">
                  <c:v>0.31626158992601006</c:v>
                </c:pt>
                <c:pt idx="111">
                  <c:v>0.31852127499770566</c:v>
                </c:pt>
                <c:pt idx="112">
                  <c:v>0.32080356650540104</c:v>
                </c:pt>
                <c:pt idx="113">
                  <c:v>0.32310798539677971</c:v>
                </c:pt>
                <c:pt idx="114">
                  <c:v>0.32543406161603078</c:v>
                </c:pt>
                <c:pt idx="115">
                  <c:v>0.32778133409456389</c:v>
                </c:pt>
                <c:pt idx="116">
                  <c:v>0.33014935073368912</c:v>
                </c:pt>
                <c:pt idx="117">
                  <c:v>0.33253766837322513</c:v>
                </c:pt>
                <c:pt idx="118">
                  <c:v>0.33494585274711175</c:v>
                </c:pt>
                <c:pt idx="119">
                  <c:v>0.33737347842715432</c:v>
                </c:pt>
                <c:pt idx="120">
                  <c:v>0.33982012875601508</c:v>
                </c:pt>
                <c:pt idx="121">
                  <c:v>0.34228556675228605</c:v>
                </c:pt>
                <c:pt idx="122">
                  <c:v>0.34476888012247392</c:v>
                </c:pt>
                <c:pt idx="123">
                  <c:v>0.34727019094913264</c:v>
                </c:pt>
                <c:pt idx="124">
                  <c:v>0.34978894584622466</c:v>
                </c:pt>
                <c:pt idx="125">
                  <c:v>0.35232477068568352</c:v>
                </c:pt>
                <c:pt idx="126">
                  <c:v>0.35487729954084335</c:v>
                </c:pt>
                <c:pt idx="127">
                  <c:v>0.35744617456091687</c:v>
                </c:pt>
                <c:pt idx="128">
                  <c:v>0.3600310458491619</c:v>
                </c:pt>
                <c:pt idx="129">
                  <c:v>0.36263157133708435</c:v>
                </c:pt>
                <c:pt idx="130">
                  <c:v>0.36524741665578259</c:v>
                </c:pt>
                <c:pt idx="131">
                  <c:v>0.36787825500456622</c:v>
                </c:pt>
                <c:pt idx="132">
                  <c:v>0.37052376701752149</c:v>
                </c:pt>
                <c:pt idx="133">
                  <c:v>0.37318364062839232</c:v>
                </c:pt>
                <c:pt idx="134">
                  <c:v>0.37585757093429289</c:v>
                </c:pt>
                <c:pt idx="135">
                  <c:v>0.37854541883744419</c:v>
                </c:pt>
                <c:pt idx="136">
                  <c:v>0.38124641702051093</c:v>
                </c:pt>
                <c:pt idx="137">
                  <c:v>0.38396075755927739</c:v>
                </c:pt>
                <c:pt idx="138">
                  <c:v>0.38668800407319603</c:v>
                </c:pt>
                <c:pt idx="139">
                  <c:v>0.38942788540484213</c:v>
                </c:pt>
                <c:pt idx="140">
                  <c:v>0.39218013674309332</c:v>
                </c:pt>
                <c:pt idx="141">
                  <c:v>0.39494449947924942</c:v>
                </c:pt>
                <c:pt idx="142">
                  <c:v>0.39772072107218381</c:v>
                </c:pt>
                <c:pt idx="143">
                  <c:v>0.40050855491437454</c:v>
                </c:pt>
                <c:pt idx="144">
                  <c:v>0.40330776019955655</c:v>
                </c:pt>
                <c:pt idx="145">
                  <c:v>0.40611810179173141</c:v>
                </c:pt>
                <c:pt idx="146">
                  <c:v>0.40893935009585874</c:v>
                </c:pt>
                <c:pt idx="147">
                  <c:v>0.4117712809301875</c:v>
                </c:pt>
                <c:pt idx="148">
                  <c:v>0.41461367540050681</c:v>
                </c:pt>
                <c:pt idx="149">
                  <c:v>0.41746631977621657</c:v>
                </c:pt>
                <c:pt idx="150">
                  <c:v>0.42032900536847145</c:v>
                </c:pt>
                <c:pt idx="151">
                  <c:v>0.42320152841024616</c:v>
                </c:pt>
                <c:pt idx="152">
                  <c:v>0.42608368993852852</c:v>
                </c:pt>
                <c:pt idx="153">
                  <c:v>0.42897529567873555</c:v>
                </c:pt>
                <c:pt idx="154">
                  <c:v>0.4318761559311351</c:v>
                </c:pt>
                <c:pt idx="155">
                  <c:v>0.43478608545951103</c:v>
                </c:pt>
                <c:pt idx="156">
                  <c:v>0.43770490338208795</c:v>
                </c:pt>
                <c:pt idx="157">
                  <c:v>0.44063243306456679</c:v>
                </c:pt>
                <c:pt idx="158">
                  <c:v>0.44356850201547543</c:v>
                </c:pt>
                <c:pt idx="159">
                  <c:v>0.44651294178358997</c:v>
                </c:pt>
                <c:pt idx="160">
                  <c:v>0.44946572508233695</c:v>
                </c:pt>
                <c:pt idx="161">
                  <c:v>0.45242636202026965</c:v>
                </c:pt>
                <c:pt idx="162">
                  <c:v>0.45539485999787804</c:v>
                </c:pt>
                <c:pt idx="163">
                  <c:v>0.45837117586280141</c:v>
                </c:pt>
                <c:pt idx="164">
                  <c:v>0.46135507746491061</c:v>
                </c:pt>
                <c:pt idx="165">
                  <c:v>0.4643465518566795</c:v>
                </c:pt>
                <c:pt idx="166">
                  <c:v>0.46734505630854106</c:v>
                </c:pt>
                <c:pt idx="167">
                  <c:v>0.47035085112503167</c:v>
                </c:pt>
                <c:pt idx="168">
                  <c:v>0.47336379768400205</c:v>
                </c:pt>
                <c:pt idx="169">
                  <c:v>0.47638336981523394</c:v>
                </c:pt>
                <c:pt idx="170">
                  <c:v>0.47940995977833578</c:v>
                </c:pt>
                <c:pt idx="171">
                  <c:v>0.48244299779728439</c:v>
                </c:pt>
                <c:pt idx="172">
                  <c:v>0.4854825177143221</c:v>
                </c:pt>
                <c:pt idx="173">
                  <c:v>0.48852849889966876</c:v>
                </c:pt>
                <c:pt idx="174">
                  <c:v>0.49158074592032691</c:v>
                </c:pt>
                <c:pt idx="175">
                  <c:v>0.49463914278003845</c:v>
                </c:pt>
                <c:pt idx="176">
                  <c:v>0.49770370119258178</c:v>
                </c:pt>
                <c:pt idx="177">
                  <c:v>0.50077393508804957</c:v>
                </c:pt>
                <c:pt idx="178">
                  <c:v>0.50385011137329461</c:v>
                </c:pt>
                <c:pt idx="179">
                  <c:v>0.50693199908280839</c:v>
                </c:pt>
                <c:pt idx="180">
                  <c:v>0.51001949467200025</c:v>
                </c:pt>
                <c:pt idx="181">
                  <c:v>0.51311249690981797</c:v>
                </c:pt>
                <c:pt idx="182">
                  <c:v>0.51621090681303916</c:v>
                </c:pt>
                <c:pt idx="183">
                  <c:v>0.51931474787858611</c:v>
                </c:pt>
                <c:pt idx="184">
                  <c:v>0.52242356459171013</c:v>
                </c:pt>
                <c:pt idx="185">
                  <c:v>0.52553774419977972</c:v>
                </c:pt>
                <c:pt idx="186">
                  <c:v>0.5286567189711614</c:v>
                </c:pt>
                <c:pt idx="187">
                  <c:v>0.53178087488935122</c:v>
                </c:pt>
                <c:pt idx="188">
                  <c:v>0.53490972197741282</c:v>
                </c:pt>
                <c:pt idx="189">
                  <c:v>0.53804332277118438</c:v>
                </c:pt>
                <c:pt idx="190">
                  <c:v>0.54118179807902722</c:v>
                </c:pt>
              </c:numCache>
            </c:numRef>
          </c:xVal>
          <c:yVal>
            <c:numRef>
              <c:f>'opt var portefeuille'!$U$3:$U$193</c:f>
              <c:numCache>
                <c:formatCode>General</c:formatCode>
                <c:ptCount val="191"/>
                <c:pt idx="0">
                  <c:v>1.0000000000000002E-2</c:v>
                </c:pt>
                <c:pt idx="1">
                  <c:v>1.1000000000000003E-2</c:v>
                </c:pt>
                <c:pt idx="2">
                  <c:v>1.2000000000000004E-2</c:v>
                </c:pt>
                <c:pt idx="3">
                  <c:v>1.3000000000000005E-2</c:v>
                </c:pt>
                <c:pt idx="4">
                  <c:v>1.4000000000000005E-2</c:v>
                </c:pt>
                <c:pt idx="5">
                  <c:v>1.5000000000000006E-2</c:v>
                </c:pt>
                <c:pt idx="6">
                  <c:v>1.6000000000000007E-2</c:v>
                </c:pt>
                <c:pt idx="7">
                  <c:v>1.7000000000000008E-2</c:v>
                </c:pt>
                <c:pt idx="8">
                  <c:v>1.8000000000000009E-2</c:v>
                </c:pt>
                <c:pt idx="9">
                  <c:v>1.900000000000001E-2</c:v>
                </c:pt>
                <c:pt idx="10">
                  <c:v>2.0000000000000011E-2</c:v>
                </c:pt>
                <c:pt idx="11">
                  <c:v>2.1000000000000012E-2</c:v>
                </c:pt>
                <c:pt idx="12">
                  <c:v>2.2000000000000013E-2</c:v>
                </c:pt>
                <c:pt idx="13">
                  <c:v>2.3000000000000013E-2</c:v>
                </c:pt>
                <c:pt idx="14">
                  <c:v>2.4000000000000014E-2</c:v>
                </c:pt>
                <c:pt idx="15">
                  <c:v>2.5000000000000015E-2</c:v>
                </c:pt>
                <c:pt idx="16">
                  <c:v>2.6000000000000016E-2</c:v>
                </c:pt>
                <c:pt idx="17">
                  <c:v>2.7000000000000017E-2</c:v>
                </c:pt>
                <c:pt idx="18">
                  <c:v>2.8000000000000018E-2</c:v>
                </c:pt>
                <c:pt idx="19">
                  <c:v>2.9000000000000019E-2</c:v>
                </c:pt>
                <c:pt idx="20">
                  <c:v>3.000000000000002E-2</c:v>
                </c:pt>
                <c:pt idx="21">
                  <c:v>3.1E-2</c:v>
                </c:pt>
                <c:pt idx="22">
                  <c:v>3.2000000000000001E-2</c:v>
                </c:pt>
                <c:pt idx="23">
                  <c:v>3.3000000000000002E-2</c:v>
                </c:pt>
                <c:pt idx="24">
                  <c:v>3.4000000000000002E-2</c:v>
                </c:pt>
                <c:pt idx="25">
                  <c:v>3.5000000000000003E-2</c:v>
                </c:pt>
                <c:pt idx="26">
                  <c:v>3.5999999999999997E-2</c:v>
                </c:pt>
                <c:pt idx="27">
                  <c:v>3.6999999999999998E-2</c:v>
                </c:pt>
                <c:pt idx="28">
                  <c:v>3.7999999999999999E-2</c:v>
                </c:pt>
                <c:pt idx="29">
                  <c:v>3.9E-2</c:v>
                </c:pt>
                <c:pt idx="30">
                  <c:v>0.04</c:v>
                </c:pt>
                <c:pt idx="31">
                  <c:v>4.1000000000000002E-2</c:v>
                </c:pt>
                <c:pt idx="32">
                  <c:v>4.2000000000000003E-2</c:v>
                </c:pt>
                <c:pt idx="33">
                  <c:v>4.2999999999999997E-2</c:v>
                </c:pt>
                <c:pt idx="34">
                  <c:v>4.3999999999999997E-2</c:v>
                </c:pt>
                <c:pt idx="35">
                  <c:v>4.4999999999999998E-2</c:v>
                </c:pt>
                <c:pt idx="36">
                  <c:v>4.5999999999999999E-2</c:v>
                </c:pt>
                <c:pt idx="37">
                  <c:v>4.7E-2</c:v>
                </c:pt>
                <c:pt idx="38">
                  <c:v>4.8000000000000001E-2</c:v>
                </c:pt>
                <c:pt idx="39">
                  <c:v>4.9000000000000002E-2</c:v>
                </c:pt>
                <c:pt idx="40">
                  <c:v>0.05</c:v>
                </c:pt>
                <c:pt idx="41">
                  <c:v>5.0999999999999997E-2</c:v>
                </c:pt>
                <c:pt idx="42">
                  <c:v>5.1999999999999998E-2</c:v>
                </c:pt>
                <c:pt idx="43">
                  <c:v>5.2999999999999999E-2</c:v>
                </c:pt>
                <c:pt idx="44">
                  <c:v>5.3999999999999999E-2</c:v>
                </c:pt>
                <c:pt idx="45">
                  <c:v>5.5E-2</c:v>
                </c:pt>
                <c:pt idx="46">
                  <c:v>5.6000000000000001E-2</c:v>
                </c:pt>
                <c:pt idx="47">
                  <c:v>5.7000000000000002E-2</c:v>
                </c:pt>
                <c:pt idx="48">
                  <c:v>5.8000000000000003E-2</c:v>
                </c:pt>
                <c:pt idx="49">
                  <c:v>5.8999999999999997E-2</c:v>
                </c:pt>
                <c:pt idx="50">
                  <c:v>0.06</c:v>
                </c:pt>
                <c:pt idx="51">
                  <c:v>6.0999999999999999E-2</c:v>
                </c:pt>
                <c:pt idx="52">
                  <c:v>6.2E-2</c:v>
                </c:pt>
                <c:pt idx="53">
                  <c:v>6.3E-2</c:v>
                </c:pt>
                <c:pt idx="54">
                  <c:v>6.4000000000000001E-2</c:v>
                </c:pt>
                <c:pt idx="55">
                  <c:v>6.5000000000000002E-2</c:v>
                </c:pt>
                <c:pt idx="56">
                  <c:v>6.6000000000000003E-2</c:v>
                </c:pt>
                <c:pt idx="57">
                  <c:v>6.7000000000000101E-2</c:v>
                </c:pt>
                <c:pt idx="58">
                  <c:v>6.8000000000000102E-2</c:v>
                </c:pt>
                <c:pt idx="59">
                  <c:v>6.9000000000000103E-2</c:v>
                </c:pt>
                <c:pt idx="60">
                  <c:v>7.0000000000000104E-2</c:v>
                </c:pt>
                <c:pt idx="61">
                  <c:v>7.1000000000000105E-2</c:v>
                </c:pt>
                <c:pt idx="62">
                  <c:v>7.2000000000000106E-2</c:v>
                </c:pt>
                <c:pt idx="63">
                  <c:v>7.3000000000000106E-2</c:v>
                </c:pt>
                <c:pt idx="64">
                  <c:v>7.4000000000000093E-2</c:v>
                </c:pt>
                <c:pt idx="65">
                  <c:v>7.5000000000000094E-2</c:v>
                </c:pt>
                <c:pt idx="66">
                  <c:v>7.6000000000000095E-2</c:v>
                </c:pt>
                <c:pt idx="67">
                  <c:v>7.7000000000000096E-2</c:v>
                </c:pt>
                <c:pt idx="68">
                  <c:v>7.8000000000000097E-2</c:v>
                </c:pt>
                <c:pt idx="69">
                  <c:v>7.9000000000000098E-2</c:v>
                </c:pt>
                <c:pt idx="70">
                  <c:v>8.0000000000000099E-2</c:v>
                </c:pt>
                <c:pt idx="71">
                  <c:v>8.10000000000001E-2</c:v>
                </c:pt>
                <c:pt idx="72">
                  <c:v>8.2000000000000101E-2</c:v>
                </c:pt>
                <c:pt idx="73">
                  <c:v>8.3000000000000101E-2</c:v>
                </c:pt>
                <c:pt idx="74">
                  <c:v>8.4000000000000102E-2</c:v>
                </c:pt>
                <c:pt idx="75">
                  <c:v>8.5000000000000103E-2</c:v>
                </c:pt>
                <c:pt idx="76">
                  <c:v>8.6000000000000104E-2</c:v>
                </c:pt>
                <c:pt idx="77">
                  <c:v>8.7000000000000105E-2</c:v>
                </c:pt>
                <c:pt idx="78">
                  <c:v>8.8000000000000106E-2</c:v>
                </c:pt>
                <c:pt idx="79">
                  <c:v>8.9000000000000107E-2</c:v>
                </c:pt>
                <c:pt idx="80">
                  <c:v>9.0000000000000094E-2</c:v>
                </c:pt>
                <c:pt idx="81">
                  <c:v>9.1000000000000095E-2</c:v>
                </c:pt>
                <c:pt idx="82">
                  <c:v>9.2000000000000096E-2</c:v>
                </c:pt>
                <c:pt idx="83">
                  <c:v>9.3000000000000096E-2</c:v>
                </c:pt>
                <c:pt idx="84">
                  <c:v>9.4000000000000097E-2</c:v>
                </c:pt>
                <c:pt idx="85">
                  <c:v>9.5000000000000098E-2</c:v>
                </c:pt>
                <c:pt idx="86">
                  <c:v>9.6000000000000099E-2</c:v>
                </c:pt>
                <c:pt idx="87">
                  <c:v>9.70000000000001E-2</c:v>
                </c:pt>
                <c:pt idx="88">
                  <c:v>9.8000000000000101E-2</c:v>
                </c:pt>
                <c:pt idx="89">
                  <c:v>9.9000000000000102E-2</c:v>
                </c:pt>
                <c:pt idx="90">
                  <c:v>0.1</c:v>
                </c:pt>
                <c:pt idx="91">
                  <c:v>0.10100000000000001</c:v>
                </c:pt>
                <c:pt idx="92">
                  <c:v>0.10199999999999999</c:v>
                </c:pt>
                <c:pt idx="93">
                  <c:v>0.10299999999999999</c:v>
                </c:pt>
                <c:pt idx="94">
                  <c:v>0.104</c:v>
                </c:pt>
                <c:pt idx="95">
                  <c:v>0.105</c:v>
                </c:pt>
                <c:pt idx="96">
                  <c:v>0.106</c:v>
                </c:pt>
                <c:pt idx="97">
                  <c:v>0.107</c:v>
                </c:pt>
                <c:pt idx="98">
                  <c:v>0.108</c:v>
                </c:pt>
                <c:pt idx="99">
                  <c:v>0.109</c:v>
                </c:pt>
                <c:pt idx="100">
                  <c:v>0.11</c:v>
                </c:pt>
                <c:pt idx="101">
                  <c:v>0.111</c:v>
                </c:pt>
                <c:pt idx="102">
                  <c:v>0.112</c:v>
                </c:pt>
                <c:pt idx="103">
                  <c:v>0.113</c:v>
                </c:pt>
                <c:pt idx="104">
                  <c:v>0.114</c:v>
                </c:pt>
                <c:pt idx="105">
                  <c:v>0.115</c:v>
                </c:pt>
                <c:pt idx="106">
                  <c:v>0.11600000000000001</c:v>
                </c:pt>
                <c:pt idx="107">
                  <c:v>0.11700000000000001</c:v>
                </c:pt>
                <c:pt idx="108">
                  <c:v>0.11799999999999999</c:v>
                </c:pt>
                <c:pt idx="109">
                  <c:v>0.11899999999999999</c:v>
                </c:pt>
                <c:pt idx="110">
                  <c:v>0.12</c:v>
                </c:pt>
                <c:pt idx="111">
                  <c:v>0.121</c:v>
                </c:pt>
                <c:pt idx="112">
                  <c:v>0.122</c:v>
                </c:pt>
                <c:pt idx="113">
                  <c:v>0.123</c:v>
                </c:pt>
                <c:pt idx="114">
                  <c:v>0.124</c:v>
                </c:pt>
                <c:pt idx="115">
                  <c:v>0.125</c:v>
                </c:pt>
                <c:pt idx="116">
                  <c:v>0.126</c:v>
                </c:pt>
                <c:pt idx="117">
                  <c:v>0.127</c:v>
                </c:pt>
                <c:pt idx="118">
                  <c:v>0.128</c:v>
                </c:pt>
                <c:pt idx="119">
                  <c:v>0.129</c:v>
                </c:pt>
                <c:pt idx="120">
                  <c:v>0.13</c:v>
                </c:pt>
                <c:pt idx="121">
                  <c:v>0.13100000000000001</c:v>
                </c:pt>
                <c:pt idx="122">
                  <c:v>0.13200000000000001</c:v>
                </c:pt>
                <c:pt idx="123">
                  <c:v>0.13300000000000001</c:v>
                </c:pt>
                <c:pt idx="124">
                  <c:v>0.13400000000000001</c:v>
                </c:pt>
                <c:pt idx="125">
                  <c:v>0.13500000000000001</c:v>
                </c:pt>
                <c:pt idx="126">
                  <c:v>0.13600000000000001</c:v>
                </c:pt>
                <c:pt idx="127">
                  <c:v>0.13700000000000001</c:v>
                </c:pt>
                <c:pt idx="128">
                  <c:v>0.13800000000000001</c:v>
                </c:pt>
                <c:pt idx="129">
                  <c:v>0.13900000000000001</c:v>
                </c:pt>
                <c:pt idx="130">
                  <c:v>0.14000000000000001</c:v>
                </c:pt>
                <c:pt idx="131">
                  <c:v>0.14099999999999999</c:v>
                </c:pt>
                <c:pt idx="132">
                  <c:v>0.14199999999999999</c:v>
                </c:pt>
                <c:pt idx="133">
                  <c:v>0.14299999999999999</c:v>
                </c:pt>
                <c:pt idx="134">
                  <c:v>0.14399999999999999</c:v>
                </c:pt>
                <c:pt idx="135">
                  <c:v>0.14499999999999999</c:v>
                </c:pt>
                <c:pt idx="136">
                  <c:v>0.14599999999999999</c:v>
                </c:pt>
                <c:pt idx="137">
                  <c:v>0.14699999999999999</c:v>
                </c:pt>
                <c:pt idx="138">
                  <c:v>0.14799999999999999</c:v>
                </c:pt>
                <c:pt idx="139">
                  <c:v>0.14899999999999999</c:v>
                </c:pt>
                <c:pt idx="140">
                  <c:v>0.15</c:v>
                </c:pt>
                <c:pt idx="141">
                  <c:v>0.151</c:v>
                </c:pt>
                <c:pt idx="142">
                  <c:v>0.152</c:v>
                </c:pt>
                <c:pt idx="143">
                  <c:v>0.153</c:v>
                </c:pt>
                <c:pt idx="144">
                  <c:v>0.154</c:v>
                </c:pt>
                <c:pt idx="145">
                  <c:v>0.155</c:v>
                </c:pt>
                <c:pt idx="146">
                  <c:v>0.156</c:v>
                </c:pt>
                <c:pt idx="147">
                  <c:v>0.157</c:v>
                </c:pt>
                <c:pt idx="148">
                  <c:v>0.158</c:v>
                </c:pt>
                <c:pt idx="149">
                  <c:v>0.159</c:v>
                </c:pt>
                <c:pt idx="150">
                  <c:v>0.16</c:v>
                </c:pt>
                <c:pt idx="151">
                  <c:v>0.161</c:v>
                </c:pt>
                <c:pt idx="152">
                  <c:v>0.16200000000000001</c:v>
                </c:pt>
                <c:pt idx="153">
                  <c:v>0.16300000000000001</c:v>
                </c:pt>
                <c:pt idx="154">
                  <c:v>0.16400000000000001</c:v>
                </c:pt>
                <c:pt idx="155">
                  <c:v>0.16500000000000001</c:v>
                </c:pt>
                <c:pt idx="156">
                  <c:v>0.16600000000000001</c:v>
                </c:pt>
                <c:pt idx="157">
                  <c:v>0.16700000000000001</c:v>
                </c:pt>
                <c:pt idx="158">
                  <c:v>0.16800000000000001</c:v>
                </c:pt>
                <c:pt idx="159">
                  <c:v>0.16900000000000001</c:v>
                </c:pt>
                <c:pt idx="160">
                  <c:v>0.17</c:v>
                </c:pt>
                <c:pt idx="161">
                  <c:v>0.17100000000000001</c:v>
                </c:pt>
                <c:pt idx="162">
                  <c:v>0.17199999999999999</c:v>
                </c:pt>
                <c:pt idx="163">
                  <c:v>0.17299999999999999</c:v>
                </c:pt>
                <c:pt idx="164">
                  <c:v>0.17399999999999999</c:v>
                </c:pt>
                <c:pt idx="165">
                  <c:v>0.17499999999999999</c:v>
                </c:pt>
                <c:pt idx="166">
                  <c:v>0.17599999999999999</c:v>
                </c:pt>
                <c:pt idx="167">
                  <c:v>0.17699999999999999</c:v>
                </c:pt>
                <c:pt idx="168">
                  <c:v>0.17799999999999999</c:v>
                </c:pt>
                <c:pt idx="169">
                  <c:v>0.17899999999999999</c:v>
                </c:pt>
                <c:pt idx="170">
                  <c:v>0.18</c:v>
                </c:pt>
                <c:pt idx="171">
                  <c:v>0.18099999999999999</c:v>
                </c:pt>
                <c:pt idx="172">
                  <c:v>0.182</c:v>
                </c:pt>
                <c:pt idx="173">
                  <c:v>0.183</c:v>
                </c:pt>
                <c:pt idx="174">
                  <c:v>0.184</c:v>
                </c:pt>
                <c:pt idx="175">
                  <c:v>0.185</c:v>
                </c:pt>
                <c:pt idx="176">
                  <c:v>0.186</c:v>
                </c:pt>
                <c:pt idx="177">
                  <c:v>0.187</c:v>
                </c:pt>
                <c:pt idx="178">
                  <c:v>0.188</c:v>
                </c:pt>
                <c:pt idx="179">
                  <c:v>0.189</c:v>
                </c:pt>
                <c:pt idx="180">
                  <c:v>0.19</c:v>
                </c:pt>
                <c:pt idx="181">
                  <c:v>0.191</c:v>
                </c:pt>
                <c:pt idx="182">
                  <c:v>0.192</c:v>
                </c:pt>
                <c:pt idx="183">
                  <c:v>0.193</c:v>
                </c:pt>
                <c:pt idx="184">
                  <c:v>0.19400000000000001</c:v>
                </c:pt>
                <c:pt idx="185">
                  <c:v>0.19500000000000001</c:v>
                </c:pt>
                <c:pt idx="186">
                  <c:v>0.19600000000000001</c:v>
                </c:pt>
                <c:pt idx="187">
                  <c:v>0.19700000000000001</c:v>
                </c:pt>
                <c:pt idx="188">
                  <c:v>0.19800000000000001</c:v>
                </c:pt>
                <c:pt idx="189">
                  <c:v>0.19900000000000001</c:v>
                </c:pt>
                <c:pt idx="190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B3-4F09-A34C-E9A99FB1801C}"/>
            </c:ext>
          </c:extLst>
        </c:ser>
        <c:ser>
          <c:idx val="1"/>
          <c:order val="1"/>
          <c:tx>
            <c:v>frontiere efficace</c:v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'opt var portefeuille'!$T$55:$T$193</c:f>
              <c:numCache>
                <c:formatCode>General</c:formatCode>
                <c:ptCount val="139"/>
                <c:pt idx="0" formatCode="0.000000">
                  <c:v>0.2431362148133383</c:v>
                </c:pt>
                <c:pt idx="1">
                  <c:v>0.24313799291290017</c:v>
                </c:pt>
                <c:pt idx="2">
                  <c:v>0.24319059303513765</c:v>
                </c:pt>
                <c:pt idx="3">
                  <c:v>0.24329398755221515</c:v>
                </c:pt>
                <c:pt idx="4">
                  <c:v>0.24344810489816943</c:v>
                </c:pt>
                <c:pt idx="5">
                  <c:v>0.24365283724815739</c:v>
                </c:pt>
                <c:pt idx="6">
                  <c:v>0.24390807939603176</c:v>
                </c:pt>
                <c:pt idx="7">
                  <c:v>0.24421366378344592</c:v>
                </c:pt>
                <c:pt idx="8">
                  <c:v>0.24456943720021102</c:v>
                </c:pt>
                <c:pt idx="9">
                  <c:v>0.24497511314571679</c:v>
                </c:pt>
                <c:pt idx="10">
                  <c:v>0.24543048075463533</c:v>
                </c:pt>
                <c:pt idx="11">
                  <c:v>0.24593520690681475</c:v>
                </c:pt>
                <c:pt idx="12">
                  <c:v>0.24648915434098137</c:v>
                </c:pt>
                <c:pt idx="13">
                  <c:v>0.247091743961807</c:v>
                </c:pt>
                <c:pt idx="14">
                  <c:v>0.2477428229720583</c:v>
                </c:pt>
                <c:pt idx="15">
                  <c:v>0.24844203425500511</c:v>
                </c:pt>
                <c:pt idx="16">
                  <c:v>0.24918869958714981</c:v>
                </c:pt>
                <c:pt idx="17">
                  <c:v>0.24998266593134222</c:v>
                </c:pt>
                <c:pt idx="18">
                  <c:v>0.25082339368524736</c:v>
                </c:pt>
                <c:pt idx="19">
                  <c:v>0.25171041428910457</c:v>
                </c:pt>
                <c:pt idx="20">
                  <c:v>0.25264336465426329</c:v>
                </c:pt>
                <c:pt idx="21">
                  <c:v>0.25362136584199241</c:v>
                </c:pt>
                <c:pt idx="22">
                  <c:v>0.25464426935626644</c:v>
                </c:pt>
                <c:pt idx="23">
                  <c:v>0.255711413336279</c:v>
                </c:pt>
                <c:pt idx="24">
                  <c:v>0.25682224629703276</c:v>
                </c:pt>
                <c:pt idx="25">
                  <c:v>0.25797620387126435</c:v>
                </c:pt>
                <c:pt idx="26">
                  <c:v>0.25917286243425214</c:v>
                </c:pt>
                <c:pt idx="27">
                  <c:v>0.26041117827840926</c:v>
                </c:pt>
                <c:pt idx="28">
                  <c:v>0.2616911719393652</c:v>
                </c:pt>
                <c:pt idx="29">
                  <c:v>0.26301160987912403</c:v>
                </c:pt>
                <c:pt idx="30">
                  <c:v>0.26437252322129062</c:v>
                </c:pt>
                <c:pt idx="31">
                  <c:v>0.26577264201326206</c:v>
                </c:pt>
                <c:pt idx="32">
                  <c:v>0.26721200815651286</c:v>
                </c:pt>
                <c:pt idx="33">
                  <c:v>0.26868945683137935</c:v>
                </c:pt>
                <c:pt idx="34">
                  <c:v>0.27020460372559374</c:v>
                </c:pt>
                <c:pt idx="35">
                  <c:v>0.27175664356737611</c:v>
                </c:pt>
                <c:pt idx="36">
                  <c:v>0.27334539373977873</c:v>
                </c:pt>
                <c:pt idx="37">
                  <c:v>0.27496956030264919</c:v>
                </c:pt>
                <c:pt idx="38">
                  <c:v>0.27662904114823245</c:v>
                </c:pt>
                <c:pt idx="39">
                  <c:v>0.27832303176637718</c:v>
                </c:pt>
                <c:pt idx="40">
                  <c:v>0.28005090591679738</c:v>
                </c:pt>
                <c:pt idx="41">
                  <c:v>0.28181204034990176</c:v>
                </c:pt>
                <c:pt idx="42">
                  <c:v>0.28360581544758845</c:v>
                </c:pt>
                <c:pt idx="43">
                  <c:v>0.28543161582657578</c:v>
                </c:pt>
                <c:pt idx="44">
                  <c:v>0.28728883089881851</c:v>
                </c:pt>
                <c:pt idx="45">
                  <c:v>0.28917685538993471</c:v>
                </c:pt>
                <c:pt idx="46">
                  <c:v>0.29109527217742281</c:v>
                </c:pt>
                <c:pt idx="47">
                  <c:v>0.29304307221394954</c:v>
                </c:pt>
                <c:pt idx="48">
                  <c:v>0.29501995346902071</c:v>
                </c:pt>
                <c:pt idx="49">
                  <c:v>0.29702528371822529</c:v>
                </c:pt>
                <c:pt idx="50">
                  <c:v>0.29905836334815067</c:v>
                </c:pt>
                <c:pt idx="51">
                  <c:v>0.30111906829800522</c:v>
                </c:pt>
                <c:pt idx="52">
                  <c:v>0.30320616600594141</c:v>
                </c:pt>
                <c:pt idx="53">
                  <c:v>0.30531965337827305</c:v>
                </c:pt>
                <c:pt idx="54">
                  <c:v>0.30745880808082798</c:v>
                </c:pt>
                <c:pt idx="55">
                  <c:v>0.30962309810815841</c:v>
                </c:pt>
                <c:pt idx="56">
                  <c:v>0.31181200006714033</c:v>
                </c:pt>
                <c:pt idx="57">
                  <c:v>0.31402517872897162</c:v>
                </c:pt>
                <c:pt idx="58">
                  <c:v>0.31626158992601006</c:v>
                </c:pt>
                <c:pt idx="59">
                  <c:v>0.31852127499770566</c:v>
                </c:pt>
                <c:pt idx="60">
                  <c:v>0.32080356650540104</c:v>
                </c:pt>
                <c:pt idx="61">
                  <c:v>0.32310798539677971</c:v>
                </c:pt>
                <c:pt idx="62">
                  <c:v>0.32543406161603078</c:v>
                </c:pt>
                <c:pt idx="63">
                  <c:v>0.32778133409456389</c:v>
                </c:pt>
                <c:pt idx="64">
                  <c:v>0.33014935073368912</c:v>
                </c:pt>
                <c:pt idx="65">
                  <c:v>0.33253766837322513</c:v>
                </c:pt>
                <c:pt idx="66">
                  <c:v>0.33494585274711175</c:v>
                </c:pt>
                <c:pt idx="67">
                  <c:v>0.33737347842715432</c:v>
                </c:pt>
                <c:pt idx="68">
                  <c:v>0.33982012875601508</c:v>
                </c:pt>
                <c:pt idx="69">
                  <c:v>0.34228556675228605</c:v>
                </c:pt>
                <c:pt idx="70">
                  <c:v>0.34476888012247392</c:v>
                </c:pt>
                <c:pt idx="71">
                  <c:v>0.34727019094913264</c:v>
                </c:pt>
                <c:pt idx="72">
                  <c:v>0.34978894584622466</c:v>
                </c:pt>
                <c:pt idx="73">
                  <c:v>0.35232477068568352</c:v>
                </c:pt>
                <c:pt idx="74">
                  <c:v>0.35487729954084335</c:v>
                </c:pt>
                <c:pt idx="75">
                  <c:v>0.35744617456091687</c:v>
                </c:pt>
                <c:pt idx="76">
                  <c:v>0.3600310458491619</c:v>
                </c:pt>
                <c:pt idx="77">
                  <c:v>0.36263157133708435</c:v>
                </c:pt>
                <c:pt idx="78">
                  <c:v>0.36524741665578259</c:v>
                </c:pt>
                <c:pt idx="79">
                  <c:v>0.36787825500456622</c:v>
                </c:pt>
                <c:pt idx="80">
                  <c:v>0.37052376701752149</c:v>
                </c:pt>
                <c:pt idx="81">
                  <c:v>0.37318364062839232</c:v>
                </c:pt>
                <c:pt idx="82">
                  <c:v>0.37585757093429289</c:v>
                </c:pt>
                <c:pt idx="83">
                  <c:v>0.37854541883744419</c:v>
                </c:pt>
                <c:pt idx="84">
                  <c:v>0.38124641702051093</c:v>
                </c:pt>
                <c:pt idx="85">
                  <c:v>0.38396075755927739</c:v>
                </c:pt>
                <c:pt idx="86">
                  <c:v>0.38668800407319603</c:v>
                </c:pt>
                <c:pt idx="87">
                  <c:v>0.38942788540484213</c:v>
                </c:pt>
                <c:pt idx="88">
                  <c:v>0.39218013674309332</c:v>
                </c:pt>
                <c:pt idx="89">
                  <c:v>0.39494449947924942</c:v>
                </c:pt>
                <c:pt idx="90">
                  <c:v>0.39772072107218381</c:v>
                </c:pt>
                <c:pt idx="91">
                  <c:v>0.40050855491437454</c:v>
                </c:pt>
                <c:pt idx="92">
                  <c:v>0.40330776019955655</c:v>
                </c:pt>
                <c:pt idx="93">
                  <c:v>0.40611810179173141</c:v>
                </c:pt>
                <c:pt idx="94">
                  <c:v>0.40893935009585874</c:v>
                </c:pt>
                <c:pt idx="95">
                  <c:v>0.4117712809301875</c:v>
                </c:pt>
                <c:pt idx="96">
                  <c:v>0.41461367540050681</c:v>
                </c:pt>
                <c:pt idx="97">
                  <c:v>0.41746631977621657</c:v>
                </c:pt>
                <c:pt idx="98">
                  <c:v>0.42032900536847145</c:v>
                </c:pt>
                <c:pt idx="99">
                  <c:v>0.42320152841024616</c:v>
                </c:pt>
                <c:pt idx="100">
                  <c:v>0.42608368993852852</c:v>
                </c:pt>
                <c:pt idx="101">
                  <c:v>0.42897529567873555</c:v>
                </c:pt>
                <c:pt idx="102">
                  <c:v>0.4318761559311351</c:v>
                </c:pt>
                <c:pt idx="103">
                  <c:v>0.43478608545951103</c:v>
                </c:pt>
                <c:pt idx="104">
                  <c:v>0.43770490338208795</c:v>
                </c:pt>
                <c:pt idx="105">
                  <c:v>0.44063243306456679</c:v>
                </c:pt>
                <c:pt idx="106">
                  <c:v>0.44356850201547543</c:v>
                </c:pt>
                <c:pt idx="107">
                  <c:v>0.44651294178358997</c:v>
                </c:pt>
                <c:pt idx="108">
                  <c:v>0.44946572508233695</c:v>
                </c:pt>
                <c:pt idx="109">
                  <c:v>0.45242636202026965</c:v>
                </c:pt>
                <c:pt idx="110">
                  <c:v>0.45539485999787804</c:v>
                </c:pt>
                <c:pt idx="111">
                  <c:v>0.45837117586280141</c:v>
                </c:pt>
                <c:pt idx="112">
                  <c:v>0.46135507746491061</c:v>
                </c:pt>
                <c:pt idx="113">
                  <c:v>0.4643465518566795</c:v>
                </c:pt>
                <c:pt idx="114">
                  <c:v>0.46734505630854106</c:v>
                </c:pt>
                <c:pt idx="115">
                  <c:v>0.47035085112503167</c:v>
                </c:pt>
                <c:pt idx="116">
                  <c:v>0.47336379768400205</c:v>
                </c:pt>
                <c:pt idx="117">
                  <c:v>0.47638336981523394</c:v>
                </c:pt>
                <c:pt idx="118">
                  <c:v>0.47940995977833578</c:v>
                </c:pt>
                <c:pt idx="119">
                  <c:v>0.48244299779728439</c:v>
                </c:pt>
                <c:pt idx="120">
                  <c:v>0.4854825177143221</c:v>
                </c:pt>
                <c:pt idx="121">
                  <c:v>0.48852849889966876</c:v>
                </c:pt>
                <c:pt idx="122">
                  <c:v>0.49158074592032691</c:v>
                </c:pt>
                <c:pt idx="123">
                  <c:v>0.49463914278003845</c:v>
                </c:pt>
                <c:pt idx="124">
                  <c:v>0.49770370119258178</c:v>
                </c:pt>
                <c:pt idx="125">
                  <c:v>0.50077393508804957</c:v>
                </c:pt>
                <c:pt idx="126">
                  <c:v>0.50385011137329461</c:v>
                </c:pt>
                <c:pt idx="127">
                  <c:v>0.50693199908280839</c:v>
                </c:pt>
                <c:pt idx="128">
                  <c:v>0.51001949467200025</c:v>
                </c:pt>
                <c:pt idx="129">
                  <c:v>0.51311249690981797</c:v>
                </c:pt>
                <c:pt idx="130">
                  <c:v>0.51621090681303916</c:v>
                </c:pt>
                <c:pt idx="131">
                  <c:v>0.51931474787858611</c:v>
                </c:pt>
                <c:pt idx="132">
                  <c:v>0.52242356459171013</c:v>
                </c:pt>
                <c:pt idx="133">
                  <c:v>0.52553774419977972</c:v>
                </c:pt>
                <c:pt idx="134">
                  <c:v>0.5286567189711614</c:v>
                </c:pt>
                <c:pt idx="135">
                  <c:v>0.53178087488935122</c:v>
                </c:pt>
                <c:pt idx="136">
                  <c:v>0.53490972197741282</c:v>
                </c:pt>
                <c:pt idx="137">
                  <c:v>0.53804332277118438</c:v>
                </c:pt>
                <c:pt idx="138">
                  <c:v>0.54118179807902722</c:v>
                </c:pt>
              </c:numCache>
            </c:numRef>
          </c:xVal>
          <c:yVal>
            <c:numRef>
              <c:f>'opt var portefeuille'!$U$55:$U$193</c:f>
              <c:numCache>
                <c:formatCode>General</c:formatCode>
                <c:ptCount val="139"/>
                <c:pt idx="0">
                  <c:v>6.2E-2</c:v>
                </c:pt>
                <c:pt idx="1">
                  <c:v>6.3E-2</c:v>
                </c:pt>
                <c:pt idx="2">
                  <c:v>6.4000000000000001E-2</c:v>
                </c:pt>
                <c:pt idx="3">
                  <c:v>6.5000000000000002E-2</c:v>
                </c:pt>
                <c:pt idx="4">
                  <c:v>6.6000000000000003E-2</c:v>
                </c:pt>
                <c:pt idx="5">
                  <c:v>6.7000000000000101E-2</c:v>
                </c:pt>
                <c:pt idx="6">
                  <c:v>6.8000000000000102E-2</c:v>
                </c:pt>
                <c:pt idx="7">
                  <c:v>6.9000000000000103E-2</c:v>
                </c:pt>
                <c:pt idx="8">
                  <c:v>7.0000000000000104E-2</c:v>
                </c:pt>
                <c:pt idx="9">
                  <c:v>7.1000000000000105E-2</c:v>
                </c:pt>
                <c:pt idx="10">
                  <c:v>7.2000000000000106E-2</c:v>
                </c:pt>
                <c:pt idx="11">
                  <c:v>7.3000000000000106E-2</c:v>
                </c:pt>
                <c:pt idx="12">
                  <c:v>7.4000000000000093E-2</c:v>
                </c:pt>
                <c:pt idx="13">
                  <c:v>7.5000000000000094E-2</c:v>
                </c:pt>
                <c:pt idx="14">
                  <c:v>7.6000000000000095E-2</c:v>
                </c:pt>
                <c:pt idx="15">
                  <c:v>7.7000000000000096E-2</c:v>
                </c:pt>
                <c:pt idx="16">
                  <c:v>7.8000000000000097E-2</c:v>
                </c:pt>
                <c:pt idx="17">
                  <c:v>7.9000000000000098E-2</c:v>
                </c:pt>
                <c:pt idx="18">
                  <c:v>8.0000000000000099E-2</c:v>
                </c:pt>
                <c:pt idx="19">
                  <c:v>8.10000000000001E-2</c:v>
                </c:pt>
                <c:pt idx="20">
                  <c:v>8.2000000000000101E-2</c:v>
                </c:pt>
                <c:pt idx="21">
                  <c:v>8.3000000000000101E-2</c:v>
                </c:pt>
                <c:pt idx="22">
                  <c:v>8.4000000000000102E-2</c:v>
                </c:pt>
                <c:pt idx="23">
                  <c:v>8.5000000000000103E-2</c:v>
                </c:pt>
                <c:pt idx="24">
                  <c:v>8.6000000000000104E-2</c:v>
                </c:pt>
                <c:pt idx="25">
                  <c:v>8.7000000000000105E-2</c:v>
                </c:pt>
                <c:pt idx="26">
                  <c:v>8.8000000000000106E-2</c:v>
                </c:pt>
                <c:pt idx="27">
                  <c:v>8.9000000000000107E-2</c:v>
                </c:pt>
                <c:pt idx="28">
                  <c:v>9.0000000000000094E-2</c:v>
                </c:pt>
                <c:pt idx="29">
                  <c:v>9.1000000000000095E-2</c:v>
                </c:pt>
                <c:pt idx="30">
                  <c:v>9.2000000000000096E-2</c:v>
                </c:pt>
                <c:pt idx="31">
                  <c:v>9.3000000000000096E-2</c:v>
                </c:pt>
                <c:pt idx="32">
                  <c:v>9.4000000000000097E-2</c:v>
                </c:pt>
                <c:pt idx="33">
                  <c:v>9.5000000000000098E-2</c:v>
                </c:pt>
                <c:pt idx="34">
                  <c:v>9.6000000000000099E-2</c:v>
                </c:pt>
                <c:pt idx="35">
                  <c:v>9.70000000000001E-2</c:v>
                </c:pt>
                <c:pt idx="36">
                  <c:v>9.8000000000000101E-2</c:v>
                </c:pt>
                <c:pt idx="37">
                  <c:v>9.9000000000000102E-2</c:v>
                </c:pt>
                <c:pt idx="38">
                  <c:v>0.1</c:v>
                </c:pt>
                <c:pt idx="39">
                  <c:v>0.10100000000000001</c:v>
                </c:pt>
                <c:pt idx="40">
                  <c:v>0.10199999999999999</c:v>
                </c:pt>
                <c:pt idx="41">
                  <c:v>0.10299999999999999</c:v>
                </c:pt>
                <c:pt idx="42">
                  <c:v>0.104</c:v>
                </c:pt>
                <c:pt idx="43">
                  <c:v>0.105</c:v>
                </c:pt>
                <c:pt idx="44">
                  <c:v>0.106</c:v>
                </c:pt>
                <c:pt idx="45">
                  <c:v>0.107</c:v>
                </c:pt>
                <c:pt idx="46">
                  <c:v>0.108</c:v>
                </c:pt>
                <c:pt idx="47">
                  <c:v>0.109</c:v>
                </c:pt>
                <c:pt idx="48">
                  <c:v>0.11</c:v>
                </c:pt>
                <c:pt idx="49">
                  <c:v>0.111</c:v>
                </c:pt>
                <c:pt idx="50">
                  <c:v>0.112</c:v>
                </c:pt>
                <c:pt idx="51">
                  <c:v>0.113</c:v>
                </c:pt>
                <c:pt idx="52">
                  <c:v>0.114</c:v>
                </c:pt>
                <c:pt idx="53">
                  <c:v>0.115</c:v>
                </c:pt>
                <c:pt idx="54">
                  <c:v>0.11600000000000001</c:v>
                </c:pt>
                <c:pt idx="55">
                  <c:v>0.11700000000000001</c:v>
                </c:pt>
                <c:pt idx="56">
                  <c:v>0.11799999999999999</c:v>
                </c:pt>
                <c:pt idx="57">
                  <c:v>0.11899999999999999</c:v>
                </c:pt>
                <c:pt idx="58">
                  <c:v>0.12</c:v>
                </c:pt>
                <c:pt idx="59">
                  <c:v>0.121</c:v>
                </c:pt>
                <c:pt idx="60">
                  <c:v>0.122</c:v>
                </c:pt>
                <c:pt idx="61">
                  <c:v>0.123</c:v>
                </c:pt>
                <c:pt idx="62">
                  <c:v>0.124</c:v>
                </c:pt>
                <c:pt idx="63">
                  <c:v>0.125</c:v>
                </c:pt>
                <c:pt idx="64">
                  <c:v>0.126</c:v>
                </c:pt>
                <c:pt idx="65">
                  <c:v>0.127</c:v>
                </c:pt>
                <c:pt idx="66">
                  <c:v>0.128</c:v>
                </c:pt>
                <c:pt idx="67">
                  <c:v>0.129</c:v>
                </c:pt>
                <c:pt idx="68">
                  <c:v>0.13</c:v>
                </c:pt>
                <c:pt idx="69">
                  <c:v>0.13100000000000001</c:v>
                </c:pt>
                <c:pt idx="70">
                  <c:v>0.13200000000000001</c:v>
                </c:pt>
                <c:pt idx="71">
                  <c:v>0.13300000000000001</c:v>
                </c:pt>
                <c:pt idx="72">
                  <c:v>0.13400000000000001</c:v>
                </c:pt>
                <c:pt idx="73">
                  <c:v>0.13500000000000001</c:v>
                </c:pt>
                <c:pt idx="74">
                  <c:v>0.13600000000000001</c:v>
                </c:pt>
                <c:pt idx="75">
                  <c:v>0.13700000000000001</c:v>
                </c:pt>
                <c:pt idx="76">
                  <c:v>0.13800000000000001</c:v>
                </c:pt>
                <c:pt idx="77">
                  <c:v>0.13900000000000001</c:v>
                </c:pt>
                <c:pt idx="78">
                  <c:v>0.14000000000000001</c:v>
                </c:pt>
                <c:pt idx="79">
                  <c:v>0.14099999999999999</c:v>
                </c:pt>
                <c:pt idx="80">
                  <c:v>0.14199999999999999</c:v>
                </c:pt>
                <c:pt idx="81">
                  <c:v>0.14299999999999999</c:v>
                </c:pt>
                <c:pt idx="82">
                  <c:v>0.14399999999999999</c:v>
                </c:pt>
                <c:pt idx="83">
                  <c:v>0.14499999999999999</c:v>
                </c:pt>
                <c:pt idx="84">
                  <c:v>0.14599999999999999</c:v>
                </c:pt>
                <c:pt idx="85">
                  <c:v>0.14699999999999999</c:v>
                </c:pt>
                <c:pt idx="86">
                  <c:v>0.14799999999999999</c:v>
                </c:pt>
                <c:pt idx="87">
                  <c:v>0.14899999999999999</c:v>
                </c:pt>
                <c:pt idx="88">
                  <c:v>0.15</c:v>
                </c:pt>
                <c:pt idx="89">
                  <c:v>0.151</c:v>
                </c:pt>
                <c:pt idx="90">
                  <c:v>0.152</c:v>
                </c:pt>
                <c:pt idx="91">
                  <c:v>0.153</c:v>
                </c:pt>
                <c:pt idx="92">
                  <c:v>0.154</c:v>
                </c:pt>
                <c:pt idx="93">
                  <c:v>0.155</c:v>
                </c:pt>
                <c:pt idx="94">
                  <c:v>0.156</c:v>
                </c:pt>
                <c:pt idx="95">
                  <c:v>0.157</c:v>
                </c:pt>
                <c:pt idx="96">
                  <c:v>0.158</c:v>
                </c:pt>
                <c:pt idx="97">
                  <c:v>0.159</c:v>
                </c:pt>
                <c:pt idx="98">
                  <c:v>0.16</c:v>
                </c:pt>
                <c:pt idx="99">
                  <c:v>0.161</c:v>
                </c:pt>
                <c:pt idx="100">
                  <c:v>0.16200000000000001</c:v>
                </c:pt>
                <c:pt idx="101">
                  <c:v>0.16300000000000001</c:v>
                </c:pt>
                <c:pt idx="102">
                  <c:v>0.16400000000000001</c:v>
                </c:pt>
                <c:pt idx="103">
                  <c:v>0.16500000000000001</c:v>
                </c:pt>
                <c:pt idx="104">
                  <c:v>0.16600000000000001</c:v>
                </c:pt>
                <c:pt idx="105">
                  <c:v>0.16700000000000001</c:v>
                </c:pt>
                <c:pt idx="106">
                  <c:v>0.16800000000000001</c:v>
                </c:pt>
                <c:pt idx="107">
                  <c:v>0.16900000000000001</c:v>
                </c:pt>
                <c:pt idx="108">
                  <c:v>0.17</c:v>
                </c:pt>
                <c:pt idx="109">
                  <c:v>0.17100000000000001</c:v>
                </c:pt>
                <c:pt idx="110">
                  <c:v>0.17199999999999999</c:v>
                </c:pt>
                <c:pt idx="111">
                  <c:v>0.17299999999999999</c:v>
                </c:pt>
                <c:pt idx="112">
                  <c:v>0.17399999999999999</c:v>
                </c:pt>
                <c:pt idx="113">
                  <c:v>0.17499999999999999</c:v>
                </c:pt>
                <c:pt idx="114">
                  <c:v>0.17599999999999999</c:v>
                </c:pt>
                <c:pt idx="115">
                  <c:v>0.17699999999999999</c:v>
                </c:pt>
                <c:pt idx="116">
                  <c:v>0.17799999999999999</c:v>
                </c:pt>
                <c:pt idx="117">
                  <c:v>0.17899999999999999</c:v>
                </c:pt>
                <c:pt idx="118">
                  <c:v>0.18</c:v>
                </c:pt>
                <c:pt idx="119">
                  <c:v>0.18099999999999999</c:v>
                </c:pt>
                <c:pt idx="120">
                  <c:v>0.182</c:v>
                </c:pt>
                <c:pt idx="121">
                  <c:v>0.183</c:v>
                </c:pt>
                <c:pt idx="122">
                  <c:v>0.184</c:v>
                </c:pt>
                <c:pt idx="123">
                  <c:v>0.185</c:v>
                </c:pt>
                <c:pt idx="124">
                  <c:v>0.186</c:v>
                </c:pt>
                <c:pt idx="125">
                  <c:v>0.187</c:v>
                </c:pt>
                <c:pt idx="126">
                  <c:v>0.188</c:v>
                </c:pt>
                <c:pt idx="127">
                  <c:v>0.189</c:v>
                </c:pt>
                <c:pt idx="128">
                  <c:v>0.19</c:v>
                </c:pt>
                <c:pt idx="129">
                  <c:v>0.191</c:v>
                </c:pt>
                <c:pt idx="130">
                  <c:v>0.192</c:v>
                </c:pt>
                <c:pt idx="131">
                  <c:v>0.193</c:v>
                </c:pt>
                <c:pt idx="132">
                  <c:v>0.19400000000000001</c:v>
                </c:pt>
                <c:pt idx="133">
                  <c:v>0.19500000000000001</c:v>
                </c:pt>
                <c:pt idx="134">
                  <c:v>0.19600000000000001</c:v>
                </c:pt>
                <c:pt idx="135">
                  <c:v>0.19700000000000001</c:v>
                </c:pt>
                <c:pt idx="136">
                  <c:v>0.19800000000000001</c:v>
                </c:pt>
                <c:pt idx="137">
                  <c:v>0.19900000000000001</c:v>
                </c:pt>
                <c:pt idx="138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38-46AD-A7D2-B01E605E916E}"/>
            </c:ext>
          </c:extLst>
        </c:ser>
        <c:ser>
          <c:idx val="2"/>
          <c:order val="2"/>
          <c:tx>
            <c:v>point frontiere</c:v>
          </c:tx>
          <c:spPr>
            <a:ln w="9525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F0000"/>
              </a:solidFill>
              <a:ln w="9525" cap="rnd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'opt var portefeuille'!$T$55</c:f>
              <c:numCache>
                <c:formatCode>0.000000</c:formatCode>
                <c:ptCount val="1"/>
                <c:pt idx="0">
                  <c:v>0.2431362148133383</c:v>
                </c:pt>
              </c:numCache>
            </c:numRef>
          </c:xVal>
          <c:yVal>
            <c:numRef>
              <c:f>'opt var portefeuille'!$U$55</c:f>
              <c:numCache>
                <c:formatCode>General</c:formatCode>
                <c:ptCount val="1"/>
                <c:pt idx="0">
                  <c:v>6.2E-2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38-46AD-A7D2-B01E605E91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7309840"/>
        <c:axId val="707310168"/>
      </c:scatterChart>
      <c:valAx>
        <c:axId val="707309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A"/>
                  <a:t>volatilite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07310168"/>
        <c:crosses val="autoZero"/>
        <c:crossBetween val="midCat"/>
      </c:valAx>
      <c:valAx>
        <c:axId val="707310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A"/>
                  <a:t>rendement</a:t>
                </a:r>
                <a:r>
                  <a:rPr lang="fr-CA" baseline="0"/>
                  <a:t> moyen</a:t>
                </a:r>
                <a:endParaRPr lang="fr-C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07309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9C8C265-3E31-4DD0-BDD8-8CF285B8646F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303-4282-ABC5-560EF6A8DBA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C91BBE6-C2A4-4540-AF7B-02ADB776E6D9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303-4282-ABC5-560EF6A8DBA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F579906-6694-43A1-AB6B-EA19E7E99EF4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303-4282-ABC5-560EF6A8DBA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0C25057-91F4-4B52-B2CF-57911C7EF80B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303-4282-ABC5-560EF6A8DB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'var min portf sans cntr rend'!$D$3:$D$6</c:f>
              <c:numCache>
                <c:formatCode>_(* #,##0.00_);_(* \(#,##0.00\);_(* "-"??_);_(@_)</c:formatCode>
                <c:ptCount val="4"/>
                <c:pt idx="0">
                  <c:v>0.29068883707497267</c:v>
                </c:pt>
                <c:pt idx="1">
                  <c:v>0.34496376621320679</c:v>
                </c:pt>
                <c:pt idx="2">
                  <c:v>0.37549966711037175</c:v>
                </c:pt>
                <c:pt idx="3">
                  <c:v>0.41509035161034519</c:v>
                </c:pt>
              </c:numCache>
            </c:numRef>
          </c:xVal>
          <c:yVal>
            <c:numRef>
              <c:f>'var min portf sans cntr rend'!$C$3:$C$6</c:f>
              <c:numCache>
                <c:formatCode>_ * #\ ##0.0000_)_ ;_ * \(#\ ##0.0000\)_ ;_ * "-"??_)_ ;_ @_ </c:formatCode>
                <c:ptCount val="4"/>
                <c:pt idx="0">
                  <c:v>7.2499999999999995E-2</c:v>
                </c:pt>
                <c:pt idx="1">
                  <c:v>0.10050000000000001</c:v>
                </c:pt>
                <c:pt idx="2">
                  <c:v>0.124</c:v>
                </c:pt>
                <c:pt idx="3">
                  <c:v>0.14249999999999999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'var min portf sans cntr rend'!$B$3:$B$6</c15:f>
                <c15:dlblRangeCache>
                  <c:ptCount val="4"/>
                  <c:pt idx="0">
                    <c:v>Titre A</c:v>
                  </c:pt>
                  <c:pt idx="1">
                    <c:v>Titre B</c:v>
                  </c:pt>
                  <c:pt idx="2">
                    <c:v>Titre C</c:v>
                  </c:pt>
                  <c:pt idx="3">
                    <c:v>Titre 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303-4282-ABC5-560EF6A8DBA1}"/>
            </c:ext>
          </c:extLst>
        </c:ser>
        <c:ser>
          <c:idx val="1"/>
          <c:order val="1"/>
          <c:tx>
            <c:strRef>
              <c:f>'var min portf sans cntr rend'!$A$8</c:f>
              <c:strCache>
                <c:ptCount val="1"/>
                <c:pt idx="0">
                  <c:v>Portefeuille optimal  sans contrainte de rendement moyen desiré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0.20450278404768971"/>
                  <c:y val="0"/>
                </c:manualLayout>
              </c:layout>
              <c:tx>
                <c:rich>
                  <a:bodyPr/>
                  <a:lstStyle/>
                  <a:p>
                    <a:fld id="{B3FE6D41-4F92-4B9C-8892-3D872D96345F}" type="SERIESNAME">
                      <a:rPr lang="en-US"/>
                      <a:pPr/>
                      <a:t>[NOM DE SÉRIE]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8303-4282-ABC5-560EF6A8DB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'var min portf sans cntr rend'!$C$23</c:f>
              <c:numCache>
                <c:formatCode>0.000000</c:formatCode>
                <c:ptCount val="1"/>
                <c:pt idx="0">
                  <c:v>0.24313071918217613</c:v>
                </c:pt>
              </c:numCache>
            </c:numRef>
          </c:xVal>
          <c:yVal>
            <c:numRef>
              <c:f>'var min portf sans cntr rend'!$C$20</c:f>
              <c:numCache>
                <c:formatCode>General</c:formatCode>
                <c:ptCount val="1"/>
                <c:pt idx="0">
                  <c:v>6.2465013677933667E-2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03-4282-ABC5-560EF6A8DB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45896"/>
        <c:axId val="538751800"/>
      </c:scatterChart>
      <c:valAx>
        <c:axId val="538745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8751800"/>
        <c:crosses val="autoZero"/>
        <c:crossBetween val="midCat"/>
      </c:valAx>
      <c:valAx>
        <c:axId val="538751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_ * #\ ##0.0000_)_ ;_ * \(#\ ##0.0000\)_ ;_ * &quot;-&quot;??_)_ ;_ @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8745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brouillon!$D$3:$D$6</c:f>
              <c:numCache>
                <c:formatCode>_ * #\ ##0.000_)_ ;_ * \(#\ ##0.000\)_ ;_ * "-"??_)_ ;_ @_ </c:formatCode>
                <c:ptCount val="4"/>
                <c:pt idx="0">
                  <c:v>0.29068883707497267</c:v>
                </c:pt>
                <c:pt idx="1">
                  <c:v>0.34496376621320679</c:v>
                </c:pt>
                <c:pt idx="2">
                  <c:v>0.37549966711037175</c:v>
                </c:pt>
                <c:pt idx="3">
                  <c:v>0.41509035161034519</c:v>
                </c:pt>
              </c:numCache>
            </c:numRef>
          </c:xVal>
          <c:yVal>
            <c:numRef>
              <c:f>brouillon!$C$3:$C$6</c:f>
              <c:numCache>
                <c:formatCode>0.00%</c:formatCode>
                <c:ptCount val="4"/>
                <c:pt idx="0">
                  <c:v>7.2499999999999995E-2</c:v>
                </c:pt>
                <c:pt idx="1">
                  <c:v>0.10050000000000001</c:v>
                </c:pt>
                <c:pt idx="2">
                  <c:v>0.124</c:v>
                </c:pt>
                <c:pt idx="3">
                  <c:v>0.14249999999999999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2D-4B48-9BBB-36E53B7D7796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brouillon!$C$22</c:f>
              <c:numCache>
                <c:formatCode>General</c:formatCode>
                <c:ptCount val="1"/>
                <c:pt idx="0">
                  <c:v>0.24313621480197084</c:v>
                </c:pt>
              </c:numCache>
            </c:numRef>
          </c:xVal>
          <c:yVal>
            <c:numRef>
              <c:f>brouillon!$C$19</c:f>
              <c:numCache>
                <c:formatCode>0.0000</c:formatCode>
                <c:ptCount val="1"/>
                <c:pt idx="0">
                  <c:v>6.1999999974430259E-2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92D-4B48-9BBB-36E53B7D77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7315744"/>
        <c:axId val="707309512"/>
      </c:scatterChart>
      <c:valAx>
        <c:axId val="707315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\ ##0.000_)_ ;_ * \(#\ ##0.000\)_ ;_ * &quot;-&quot;??_)_ ;_ @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07309512"/>
        <c:crosses val="autoZero"/>
        <c:crossBetween val="midCat"/>
      </c:valAx>
      <c:valAx>
        <c:axId val="707309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07315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204789</xdr:colOff>
      <xdr:row>24</xdr:row>
      <xdr:rowOff>171450</xdr:rowOff>
    </xdr:from>
    <xdr:to>
      <xdr:col>4</xdr:col>
      <xdr:colOff>78318</xdr:colOff>
      <xdr:row>40</xdr:row>
      <xdr:rowOff>170391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426720</xdr:colOff>
          <xdr:row>1</xdr:row>
          <xdr:rowOff>350520</xdr:rowOff>
        </xdr:from>
        <xdr:to>
          <xdr:col>17</xdr:col>
          <xdr:colOff>693420</xdr:colOff>
          <xdr:row>1</xdr:row>
          <xdr:rowOff>784860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optimiser variance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277812</xdr:colOff>
      <xdr:row>8</xdr:row>
      <xdr:rowOff>12700</xdr:rowOff>
    </xdr:from>
    <xdr:to>
      <xdr:col>17</xdr:col>
      <xdr:colOff>495300</xdr:colOff>
      <xdr:row>31</xdr:row>
      <xdr:rowOff>92604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292100</xdr:colOff>
      <xdr:row>8</xdr:row>
      <xdr:rowOff>12701</xdr:rowOff>
    </xdr:from>
    <xdr:to>
      <xdr:col>14</xdr:col>
      <xdr:colOff>98535</xdr:colOff>
      <xdr:row>26</xdr:row>
      <xdr:rowOff>87587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518584</xdr:colOff>
      <xdr:row>8</xdr:row>
      <xdr:rowOff>51270</xdr:rowOff>
    </xdr:from>
    <xdr:to>
      <xdr:col>11</xdr:col>
      <xdr:colOff>269287</xdr:colOff>
      <xdr:row>22</xdr:row>
      <xdr:rowOff>19285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FB985-DBD3-40A4-9784-0C8EE34D123B}">
  <sheetPr codeName="Feuil4"/>
  <dimension ref="A1:Y196"/>
  <sheetViews>
    <sheetView tabSelected="1" zoomScale="59" zoomScaleNormal="59" workbookViewId="0">
      <selection activeCell="H47" sqref="H47"/>
    </sheetView>
  </sheetViews>
  <sheetFormatPr baseColWidth="10" defaultRowHeight="14.4" x14ac:dyDescent="0.3"/>
  <cols>
    <col min="1" max="1" width="20.88671875" customWidth="1"/>
    <col min="2" max="2" width="15.6640625" customWidth="1"/>
    <col min="3" max="3" width="10.88671875" customWidth="1"/>
    <col min="4" max="4" width="11.5546875" bestFit="1" customWidth="1"/>
    <col min="6" max="10" width="11.5546875" bestFit="1" customWidth="1"/>
    <col min="12" max="15" width="11.5546875" bestFit="1" customWidth="1"/>
    <col min="16" max="16" width="11.6640625" customWidth="1"/>
    <col min="19" max="20" width="12" bestFit="1" customWidth="1"/>
    <col min="21" max="21" width="11.5546875" bestFit="1" customWidth="1"/>
    <col min="22" max="23" width="12" bestFit="1" customWidth="1"/>
    <col min="24" max="25" width="12.6640625" bestFit="1" customWidth="1"/>
  </cols>
  <sheetData>
    <row r="1" spans="1:25" ht="16.2" thickBot="1" x14ac:dyDescent="0.35">
      <c r="A1" s="2"/>
      <c r="B1" s="2"/>
      <c r="C1" s="2"/>
      <c r="D1" s="2"/>
      <c r="F1" s="2"/>
      <c r="G1" s="2"/>
      <c r="H1" s="2"/>
      <c r="I1" s="8"/>
    </row>
    <row r="2" spans="1:25" ht="62.4" x14ac:dyDescent="0.3">
      <c r="A2" s="24" t="s">
        <v>2</v>
      </c>
      <c r="B2" s="25" t="s">
        <v>3</v>
      </c>
      <c r="C2" s="25" t="s">
        <v>4</v>
      </c>
      <c r="D2" s="26" t="s">
        <v>19</v>
      </c>
      <c r="F2" s="22" t="s">
        <v>9</v>
      </c>
      <c r="G2" s="20" t="str">
        <f>$A$3</f>
        <v>Titre A</v>
      </c>
      <c r="H2" s="20" t="str">
        <f>$A$4</f>
        <v>Titre B</v>
      </c>
      <c r="I2" s="20" t="str">
        <f>$A$5</f>
        <v>Titre C</v>
      </c>
      <c r="J2" s="65" t="str">
        <f>$A$6</f>
        <v>Titre D</v>
      </c>
      <c r="L2" s="17" t="s">
        <v>10</v>
      </c>
      <c r="M2" s="20" t="str">
        <f>$A$3</f>
        <v>Titre A</v>
      </c>
      <c r="N2" s="20" t="str">
        <f>$A$4</f>
        <v>Titre B</v>
      </c>
      <c r="O2" s="20" t="str">
        <f>$A$5</f>
        <v>Titre C</v>
      </c>
      <c r="P2" s="65" t="str">
        <f>$A$6</f>
        <v>Titre D</v>
      </c>
      <c r="S2" s="58" t="s">
        <v>19</v>
      </c>
      <c r="T2" s="58" t="s">
        <v>23</v>
      </c>
      <c r="U2" s="58" t="s">
        <v>21</v>
      </c>
      <c r="V2" s="58" t="str">
        <f>A14</f>
        <v>w1</v>
      </c>
      <c r="W2" s="58" t="str">
        <f>A15</f>
        <v>w2</v>
      </c>
      <c r="X2" s="58" t="str">
        <f>A16</f>
        <v>w3</v>
      </c>
      <c r="Y2" s="58" t="str">
        <f>A17</f>
        <v>w4</v>
      </c>
    </row>
    <row r="3" spans="1:25" ht="15.6" x14ac:dyDescent="0.3">
      <c r="A3" s="27" t="s">
        <v>5</v>
      </c>
      <c r="B3" s="63">
        <v>7.2499999999999995E-2</v>
      </c>
      <c r="C3" s="61">
        <f>SQRT(M3)</f>
        <v>0.29068883707497267</v>
      </c>
      <c r="D3" s="31">
        <f>M3</f>
        <v>8.4500000000000006E-2</v>
      </c>
      <c r="F3" s="18" t="str">
        <f>$A$3</f>
        <v>Titre A</v>
      </c>
      <c r="G3" s="8">
        <v>1</v>
      </c>
      <c r="H3" s="8"/>
      <c r="I3" s="8"/>
      <c r="J3" s="11"/>
      <c r="L3" s="18" t="str">
        <f>$A$3</f>
        <v>Titre A</v>
      </c>
      <c r="M3" s="29">
        <v>8.4500000000000006E-2</v>
      </c>
      <c r="N3" s="34">
        <v>4.6600000000000003E-2</v>
      </c>
      <c r="O3" s="36">
        <v>7.1099999999999997E-2</v>
      </c>
      <c r="P3" s="38">
        <v>8.3400000000000002E-2</v>
      </c>
      <c r="S3" s="67">
        <v>9.3129303545683051E-2</v>
      </c>
      <c r="T3">
        <v>0.30517094151587082</v>
      </c>
      <c r="U3">
        <v>1.0000000000000002E-2</v>
      </c>
      <c r="V3">
        <v>1.3750106142321188</v>
      </c>
      <c r="W3">
        <v>0.92449186538126671</v>
      </c>
      <c r="X3">
        <v>-0.139427036221863</v>
      </c>
      <c r="Y3">
        <v>-1.1600754433915224</v>
      </c>
    </row>
    <row r="4" spans="1:25" ht="15.6" x14ac:dyDescent="0.3">
      <c r="A4" s="27" t="s">
        <v>6</v>
      </c>
      <c r="B4" s="63">
        <v>0.10050000000000001</v>
      </c>
      <c r="C4" s="61">
        <f>SQRT(N4)</f>
        <v>0.34496376621320679</v>
      </c>
      <c r="D4" s="31">
        <f>N4</f>
        <v>0.11899999999999999</v>
      </c>
      <c r="F4" s="18" t="str">
        <f>$A$4</f>
        <v>Titre B</v>
      </c>
      <c r="G4" s="46">
        <f>M4/(C3*C4)</f>
        <v>0.46471220796201329</v>
      </c>
      <c r="H4" s="8">
        <v>1</v>
      </c>
      <c r="I4" s="8"/>
      <c r="J4" s="11"/>
      <c r="L4" s="18" t="str">
        <f>$A$4</f>
        <v>Titre B</v>
      </c>
      <c r="M4" s="33">
        <v>4.6600000000000003E-2</v>
      </c>
      <c r="N4" s="29">
        <v>0.11899999999999999</v>
      </c>
      <c r="O4" s="39">
        <v>5.2999999999999999E-2</v>
      </c>
      <c r="P4" s="41">
        <v>0.114</v>
      </c>
      <c r="S4" s="67">
        <v>9.1844919644461176E-2</v>
      </c>
      <c r="T4">
        <v>0.30305926754425638</v>
      </c>
      <c r="U4">
        <v>1.1000000000000003E-2</v>
      </c>
      <c r="V4">
        <v>1.3626165406515045</v>
      </c>
      <c r="W4">
        <v>0.91890298941733051</v>
      </c>
      <c r="X4">
        <v>-0.13389640221878363</v>
      </c>
      <c r="Y4">
        <v>-1.1476231278500517</v>
      </c>
    </row>
    <row r="5" spans="1:25" ht="15.6" x14ac:dyDescent="0.3">
      <c r="A5" s="27" t="s">
        <v>7</v>
      </c>
      <c r="B5" s="63">
        <v>0.124</v>
      </c>
      <c r="C5" s="61">
        <f>SQRT(O5)</f>
        <v>0.37549966711037175</v>
      </c>
      <c r="D5" s="31">
        <f>O5</f>
        <v>0.14099999999999999</v>
      </c>
      <c r="F5" s="18" t="str">
        <f>$A$5</f>
        <v>Titre C</v>
      </c>
      <c r="G5" s="46">
        <f>M5/(C3*C5)</f>
        <v>0.65137590553649094</v>
      </c>
      <c r="H5" s="46">
        <f>N5/(C4*C5)</f>
        <v>0.4091596821648823</v>
      </c>
      <c r="I5" s="8">
        <v>1</v>
      </c>
      <c r="J5" s="11"/>
      <c r="L5" s="18" t="str">
        <f>$A$5</f>
        <v>Titre C</v>
      </c>
      <c r="M5" s="35">
        <v>7.1099999999999997E-2</v>
      </c>
      <c r="N5" s="39">
        <v>5.2999999999999999E-2</v>
      </c>
      <c r="O5" s="29">
        <v>0.14099999999999999</v>
      </c>
      <c r="P5" s="43">
        <v>9.2999999999999999E-2</v>
      </c>
      <c r="S5" s="67">
        <v>9.0585253603141014E-2</v>
      </c>
      <c r="T5">
        <v>0.30097384205797856</v>
      </c>
      <c r="U5">
        <v>1.2000000000000004E-2</v>
      </c>
      <c r="V5">
        <v>1.3502226120689806</v>
      </c>
      <c r="W5">
        <v>0.91331389232165483</v>
      </c>
      <c r="X5">
        <v>-0.12836574931099584</v>
      </c>
      <c r="Y5">
        <v>-1.1351707550796395</v>
      </c>
    </row>
    <row r="6" spans="1:25" ht="16.2" thickBot="1" x14ac:dyDescent="0.35">
      <c r="A6" s="28" t="s">
        <v>8</v>
      </c>
      <c r="B6" s="64">
        <v>0.14249999999999999</v>
      </c>
      <c r="C6" s="62">
        <f>SQRT(P6)</f>
        <v>0.41509035161034519</v>
      </c>
      <c r="D6" s="32">
        <f>P6</f>
        <v>0.17230000000000001</v>
      </c>
      <c r="F6" s="19" t="str">
        <f>$A$6</f>
        <v>Titre D</v>
      </c>
      <c r="G6" s="45">
        <f>M6/(C3*C6)</f>
        <v>0.69118619819294402</v>
      </c>
      <c r="H6" s="45">
        <f>N6/(C4*C6)</f>
        <v>0.79613869375628099</v>
      </c>
      <c r="I6" s="45">
        <f>O6/(C5*C6)</f>
        <v>0.5966652615258845</v>
      </c>
      <c r="J6" s="12">
        <v>1</v>
      </c>
      <c r="L6" s="19" t="str">
        <f>$A$6</f>
        <v>Titre D</v>
      </c>
      <c r="M6" s="37">
        <v>8.3400000000000002E-2</v>
      </c>
      <c r="N6" s="40">
        <v>0.114</v>
      </c>
      <c r="O6" s="42">
        <v>9.2999999999999999E-2</v>
      </c>
      <c r="P6" s="30">
        <v>0.17230000000000001</v>
      </c>
      <c r="S6" s="67">
        <v>8.9350303884254301E-2</v>
      </c>
      <c r="T6">
        <v>0.2989152118649272</v>
      </c>
      <c r="U6">
        <v>1.3000000000000005E-2</v>
      </c>
      <c r="V6">
        <v>1.3378286875874363</v>
      </c>
      <c r="W6">
        <v>0.90772480810601364</v>
      </c>
      <c r="X6">
        <v>-0.12283513964642036</v>
      </c>
      <c r="Y6">
        <v>-1.1227183560470293</v>
      </c>
    </row>
    <row r="7" spans="1:25" x14ac:dyDescent="0.3">
      <c r="S7" s="67">
        <v>8.8140070384988611E-2</v>
      </c>
      <c r="T7">
        <v>0.29688393419817888</v>
      </c>
      <c r="U7">
        <v>1.4000000000000005E-2</v>
      </c>
      <c r="V7">
        <v>1.3254345578284501</v>
      </c>
      <c r="W7">
        <v>0.90213604015542526</v>
      </c>
      <c r="X7">
        <v>-0.11730447429368049</v>
      </c>
      <c r="Y7">
        <v>-1.1102661236901943</v>
      </c>
    </row>
    <row r="8" spans="1:25" ht="15.6" x14ac:dyDescent="0.3">
      <c r="A8" s="47" t="s">
        <v>11</v>
      </c>
      <c r="S8">
        <v>8.6954553241035182E-2</v>
      </c>
      <c r="T8">
        <v>0.294880574539991</v>
      </c>
      <c r="U8">
        <v>1.5000000000000006E-2</v>
      </c>
      <c r="V8">
        <v>1.313040598112311</v>
      </c>
      <c r="W8">
        <v>0.89654700012239485</v>
      </c>
      <c r="X8">
        <v>-0.11177383161555941</v>
      </c>
      <c r="Y8">
        <v>-1.0978137666191468</v>
      </c>
    </row>
    <row r="9" spans="1:25" x14ac:dyDescent="0.3">
      <c r="S9">
        <v>8.5793752351669139E-2</v>
      </c>
      <c r="T9">
        <v>0.29290570556352968</v>
      </c>
      <c r="U9">
        <v>1.6000000000000007E-2</v>
      </c>
      <c r="V9">
        <v>1.3006465519974151</v>
      </c>
      <c r="W9">
        <v>0.8909580977310696</v>
      </c>
      <c r="X9">
        <v>-0.10624317602209907</v>
      </c>
      <c r="Y9">
        <v>-1.0853614737063855</v>
      </c>
    </row>
    <row r="10" spans="1:25" ht="15.6" x14ac:dyDescent="0.3">
      <c r="A10" s="48"/>
      <c r="O10" t="s">
        <v>22</v>
      </c>
      <c r="S10">
        <v>8.4657667750463461E-2</v>
      </c>
      <c r="T10">
        <v>0.29095990746228845</v>
      </c>
      <c r="U10">
        <v>1.7000000000000008E-2</v>
      </c>
      <c r="V10">
        <v>1.2882526161501953</v>
      </c>
      <c r="W10">
        <v>0.88536902783569238</v>
      </c>
      <c r="X10">
        <v>-0.10071255737828576</v>
      </c>
      <c r="Y10">
        <v>-1.0729090866076014</v>
      </c>
    </row>
    <row r="11" spans="1:25" x14ac:dyDescent="0.3">
      <c r="S11">
        <v>8.3546299437419536E-2</v>
      </c>
      <c r="T11">
        <v>0.28904376733882281</v>
      </c>
      <c r="U11">
        <v>1.8000000000000009E-2</v>
      </c>
      <c r="V11">
        <v>1.2758585743118385</v>
      </c>
      <c r="W11">
        <v>0.87978011871968187</v>
      </c>
      <c r="X11">
        <v>-9.5181902699473839E-2</v>
      </c>
      <c r="Y11">
        <v>-1.0604567903320468</v>
      </c>
    </row>
    <row r="12" spans="1:25" ht="15" thickBot="1" x14ac:dyDescent="0.35">
      <c r="S12">
        <v>8.245964738242495E-2</v>
      </c>
      <c r="T12">
        <v>0.28715787884441712</v>
      </c>
      <c r="U12">
        <v>1.900000000000001E-2</v>
      </c>
      <c r="V12">
        <v>1.2634645281936119</v>
      </c>
      <c r="W12">
        <v>0.87419122583207731</v>
      </c>
      <c r="X12">
        <v>-8.9651270184564549E-2</v>
      </c>
      <c r="Y12">
        <v>-1.0480044838411249</v>
      </c>
    </row>
    <row r="13" spans="1:25" ht="15.6" x14ac:dyDescent="0.3">
      <c r="A13" s="9"/>
      <c r="B13" s="50"/>
      <c r="C13" s="13"/>
      <c r="S13">
        <v>8.139771167581461E-2</v>
      </c>
      <c r="T13">
        <v>0.28530284203949774</v>
      </c>
      <c r="U13">
        <v>2.0000000000000011E-2</v>
      </c>
      <c r="V13">
        <v>1.2510705517016605</v>
      </c>
      <c r="W13">
        <v>0.86860220769264729</v>
      </c>
      <c r="X13">
        <v>-8.4120613734742805E-2</v>
      </c>
      <c r="Y13">
        <v>-1.0355521456595649</v>
      </c>
    </row>
    <row r="14" spans="1:25" ht="15.6" x14ac:dyDescent="0.3">
      <c r="A14" s="2" t="s">
        <v>14</v>
      </c>
      <c r="B14" s="52">
        <v>1.498950732342492</v>
      </c>
      <c r="C14" s="54" t="str">
        <f>A3</f>
        <v>Titre A</v>
      </c>
      <c r="D14" s="58"/>
      <c r="S14">
        <v>8.0360492227254499E-2</v>
      </c>
      <c r="T14">
        <v>0.28347926242893767</v>
      </c>
      <c r="U14">
        <v>2.1000000000000012E-2</v>
      </c>
      <c r="V14">
        <v>1.2386765989617254</v>
      </c>
      <c r="W14">
        <v>0.86301316435298092</v>
      </c>
      <c r="X14">
        <v>-7.8589991461160844E-2</v>
      </c>
      <c r="Y14">
        <v>-1.0230997718535457</v>
      </c>
    </row>
    <row r="15" spans="1:25" ht="15.6" x14ac:dyDescent="0.3">
      <c r="A15" s="2" t="s">
        <v>15</v>
      </c>
      <c r="B15" s="52">
        <v>0.98038157845498097</v>
      </c>
      <c r="C15" s="54" t="str">
        <f>A4</f>
        <v>Titre B</v>
      </c>
      <c r="D15" s="58"/>
      <c r="S15">
        <v>7.9347989066855917E-2</v>
      </c>
      <c r="T15">
        <v>0.28168775100606686</v>
      </c>
      <c r="U15">
        <v>2.2000000000000013E-2</v>
      </c>
      <c r="V15">
        <v>1.2262825952582526</v>
      </c>
      <c r="W15">
        <v>0.85742419757545829</v>
      </c>
      <c r="X15">
        <v>-7.3059350169299112E-2</v>
      </c>
      <c r="Y15">
        <v>-1.0106474426644112</v>
      </c>
    </row>
    <row r="16" spans="1:25" ht="15.6" x14ac:dyDescent="0.3">
      <c r="A16" s="2" t="s">
        <v>16</v>
      </c>
      <c r="B16" s="52">
        <v>-0.19473349093111192</v>
      </c>
      <c r="C16" s="54" t="str">
        <f>A5</f>
        <v>Titre C</v>
      </c>
      <c r="D16" s="58"/>
      <c r="S16">
        <v>7.8360202167277238E-2</v>
      </c>
      <c r="T16">
        <v>0.27992892342035192</v>
      </c>
      <c r="U16">
        <v>2.3000000000000013E-2</v>
      </c>
      <c r="V16">
        <v>1.2138885410839066</v>
      </c>
      <c r="W16">
        <v>0.85183531085836528</v>
      </c>
      <c r="X16">
        <v>-6.7528701180492257E-2</v>
      </c>
      <c r="Y16">
        <v>-0.99819515076177945</v>
      </c>
    </row>
    <row r="17" spans="1:25" ht="15.6" x14ac:dyDescent="0.3">
      <c r="A17" s="2" t="s">
        <v>18</v>
      </c>
      <c r="B17" s="52">
        <v>-1.2845988198663609</v>
      </c>
      <c r="C17" s="54" t="str">
        <f>A6</f>
        <v>Titre D</v>
      </c>
      <c r="D17" s="58"/>
      <c r="L17" s="27"/>
      <c r="M17" s="56"/>
      <c r="S17">
        <v>7.7397131583893219E-2</v>
      </c>
      <c r="T17">
        <v>0.27820339966271657</v>
      </c>
      <c r="U17">
        <v>2.4000000000000014E-2</v>
      </c>
      <c r="V17">
        <v>1.201494539665521</v>
      </c>
      <c r="W17">
        <v>0.84624634016922828</v>
      </c>
      <c r="X17">
        <v>-6.1998059654524998E-2</v>
      </c>
      <c r="Y17">
        <v>-0.98574282018022397</v>
      </c>
    </row>
    <row r="18" spans="1:25" ht="15.6" x14ac:dyDescent="0.3">
      <c r="A18" s="8" t="s">
        <v>17</v>
      </c>
      <c r="B18">
        <f>SUM(B14:B17)</f>
        <v>1</v>
      </c>
      <c r="C18" s="14"/>
      <c r="L18" s="27"/>
      <c r="M18" s="56"/>
      <c r="S18">
        <v>7.6458777314625859E-2</v>
      </c>
      <c r="T18">
        <v>0.27651180321032565</v>
      </c>
      <c r="U18">
        <v>2.5000000000000015E-2</v>
      </c>
      <c r="V18">
        <v>1.1891005397788819</v>
      </c>
      <c r="W18">
        <v>0.84065736273160629</v>
      </c>
      <c r="X18">
        <v>-5.6467407088345051E-2</v>
      </c>
      <c r="Y18">
        <v>-0.97329049542214319</v>
      </c>
    </row>
    <row r="19" spans="1:25" ht="15.6" x14ac:dyDescent="0.3">
      <c r="C19" s="14"/>
      <c r="L19" s="27"/>
      <c r="M19" s="56"/>
      <c r="S19">
        <v>7.5545139281610441E-2</v>
      </c>
      <c r="T19">
        <v>0.27485476034009387</v>
      </c>
      <c r="U19">
        <v>2.6000000000000016E-2</v>
      </c>
      <c r="V19">
        <v>1.176706626481216</v>
      </c>
      <c r="W19">
        <v>0.83506824319284878</v>
      </c>
      <c r="X19">
        <v>-5.0936762578388028E-2</v>
      </c>
      <c r="Y19">
        <v>-0.96083810709567696</v>
      </c>
    </row>
    <row r="20" spans="1:25" ht="15.6" x14ac:dyDescent="0.3">
      <c r="A20" s="18" t="s">
        <v>3</v>
      </c>
      <c r="B20" s="72">
        <f>SUMPRODUCT(B3:B6,B14:B17)</f>
        <v>-7.976858035219081E-9</v>
      </c>
      <c r="C20" s="14"/>
      <c r="L20" s="27"/>
      <c r="M20" s="56"/>
      <c r="S20">
        <v>7.465621756271057E-2</v>
      </c>
      <c r="T20">
        <v>0.27323289985415478</v>
      </c>
      <c r="U20">
        <v>2.7000000000000017E-2</v>
      </c>
      <c r="V20">
        <v>1.1643126025569812</v>
      </c>
      <c r="W20">
        <v>0.82947931156507215</v>
      </c>
      <c r="X20">
        <v>-4.5406124574933086E-2</v>
      </c>
      <c r="Y20">
        <v>-0.94838578954712016</v>
      </c>
    </row>
    <row r="21" spans="1:25" ht="15.6" x14ac:dyDescent="0.3">
      <c r="A21" s="10"/>
      <c r="C21" s="14"/>
      <c r="S21">
        <v>7.3792012155848019E-2</v>
      </c>
      <c r="T21">
        <v>0.27164685191595361</v>
      </c>
      <c r="U21">
        <v>2.8000000000000018E-2</v>
      </c>
      <c r="V21">
        <v>1.1519185539412216</v>
      </c>
      <c r="W21">
        <v>0.82389042468936535</v>
      </c>
      <c r="X21">
        <v>-3.9875493228309279E-2</v>
      </c>
      <c r="Y21">
        <v>-0.93593348540227816</v>
      </c>
    </row>
    <row r="22" spans="1:25" ht="15.6" x14ac:dyDescent="0.3">
      <c r="A22" s="18" t="s">
        <v>19</v>
      </c>
      <c r="B22" s="66">
        <f>B14^2*D3+B15^2*D4+B16^2*D5+B17^2*D6+2*(B14*B15*G4*C3*C4+B14*B16*G5*C3*C5+B14*B17*G6*C3*C6+B15*B16*H5*C4*C5+B15*B17*H6*C4*C6+B16*B17*I6*C5*C6)</f>
        <v>0.10733253349473504</v>
      </c>
      <c r="C22" s="14"/>
      <c r="S22">
        <v>7.2952522989393753E-2</v>
      </c>
      <c r="T22">
        <v>0.2700972472821479</v>
      </c>
      <c r="U22">
        <v>2.9000000000000019E-2</v>
      </c>
      <c r="V22">
        <v>1.1395245072102809</v>
      </c>
      <c r="W22">
        <v>0.81830153074093903</v>
      </c>
      <c r="X22">
        <v>-3.4344855986673528E-2</v>
      </c>
      <c r="Y22">
        <v>-0.92348118196454643</v>
      </c>
    </row>
    <row r="23" spans="1:25" ht="16.2" thickBot="1" x14ac:dyDescent="0.35">
      <c r="A23" s="19" t="s">
        <v>20</v>
      </c>
      <c r="B23" s="15">
        <f>SQRT($B$22)</f>
        <v>0.32761644265014389</v>
      </c>
      <c r="C23" s="16"/>
      <c r="S23">
        <v>7.2137750134977752E-2</v>
      </c>
      <c r="T23">
        <v>0.26858471686783997</v>
      </c>
      <c r="U23">
        <v>3.000000000000002E-2</v>
      </c>
      <c r="V23">
        <v>1.1271304868004013</v>
      </c>
      <c r="W23">
        <v>0.81271259301068044</v>
      </c>
      <c r="X23">
        <v>-2.8814217426554409E-2</v>
      </c>
      <c r="Y23">
        <v>-0.91102886238452729</v>
      </c>
    </row>
    <row r="24" spans="1:25" x14ac:dyDescent="0.3">
      <c r="S24">
        <v>7.1347693590520678E-2</v>
      </c>
      <c r="T24">
        <v>0.26710989047678613</v>
      </c>
      <c r="U24">
        <v>3.1E-2</v>
      </c>
      <c r="V24">
        <v>1.1147365253352843</v>
      </c>
      <c r="W24">
        <v>0.80712354902655892</v>
      </c>
      <c r="X24">
        <v>-2.3283559160585575E-2</v>
      </c>
      <c r="Y24">
        <v>-0.8985765152012577</v>
      </c>
    </row>
    <row r="25" spans="1:25" x14ac:dyDescent="0.3">
      <c r="S25">
        <v>7.058235331173493E-2</v>
      </c>
      <c r="T25">
        <v>0.26567339594271561</v>
      </c>
      <c r="U25">
        <v>3.2000000000000001E-2</v>
      </c>
      <c r="V25">
        <v>1.1023424849982502</v>
      </c>
      <c r="W25">
        <v>0.80153463432523098</v>
      </c>
      <c r="X25">
        <v>-1.7752897482274949E-2</v>
      </c>
      <c r="Y25">
        <v>-0.88612422184120621</v>
      </c>
    </row>
    <row r="26" spans="1:25" x14ac:dyDescent="0.3">
      <c r="S26">
        <v>6.9841729300696404E-2</v>
      </c>
      <c r="T26">
        <v>0.26427585833877526</v>
      </c>
      <c r="U26">
        <v>3.3000000000000002E-2</v>
      </c>
      <c r="V26">
        <v>1.089948564875191</v>
      </c>
      <c r="W26">
        <v>0.79594553805882184</v>
      </c>
      <c r="X26">
        <v>-1.2222279981034581E-2</v>
      </c>
      <c r="Y26">
        <v>-0.87367182295297829</v>
      </c>
    </row>
    <row r="27" spans="1:25" x14ac:dyDescent="0.3">
      <c r="S27">
        <v>6.9125821598926412E-2</v>
      </c>
      <c r="T27">
        <v>0.26291789897024204</v>
      </c>
      <c r="U27">
        <v>3.4000000000000002E-2</v>
      </c>
      <c r="V27">
        <v>1.0775545990902078</v>
      </c>
      <c r="W27">
        <v>0.79035650552386827</v>
      </c>
      <c r="X27">
        <v>-6.6916328774054082E-3</v>
      </c>
      <c r="Y27">
        <v>-0.86121947173667068</v>
      </c>
    </row>
    <row r="28" spans="1:25" x14ac:dyDescent="0.3">
      <c r="S28">
        <v>6.8434630185317508E-2</v>
      </c>
      <c r="T28">
        <v>0.26160013414621469</v>
      </c>
      <c r="U28">
        <v>3.5000000000000003E-2</v>
      </c>
      <c r="V28">
        <v>1.0651606166517316</v>
      </c>
      <c r="W28">
        <v>0.78476750189229338</v>
      </c>
      <c r="X28">
        <v>-1.1609883790475607E-3</v>
      </c>
      <c r="Y28">
        <v>-0.84876713016497773</v>
      </c>
    </row>
    <row r="29" spans="1:25" x14ac:dyDescent="0.3">
      <c r="S29">
        <v>6.7768155059867524E-2</v>
      </c>
      <c r="T29">
        <v>0.2603231742658873</v>
      </c>
      <c r="U29">
        <v>3.5999999999999997E-2</v>
      </c>
      <c r="V29">
        <v>1.0527665568402553</v>
      </c>
      <c r="W29">
        <v>0.7791786325509108</v>
      </c>
      <c r="X29">
        <v>4.3696440070058774E-3</v>
      </c>
      <c r="Y29">
        <v>-0.83631483339817225</v>
      </c>
    </row>
    <row r="30" spans="1:25" x14ac:dyDescent="0.3">
      <c r="S30">
        <v>6.7126396222580653E-2</v>
      </c>
      <c r="T30">
        <v>0.25908762267345126</v>
      </c>
      <c r="U30">
        <v>3.6999999999999998E-2</v>
      </c>
      <c r="V30">
        <v>1.0403725888242938</v>
      </c>
      <c r="W30">
        <v>0.77358960388823295</v>
      </c>
      <c r="X30">
        <v>9.9002907610094611E-3</v>
      </c>
      <c r="Y30">
        <v>-0.82386248347353641</v>
      </c>
    </row>
    <row r="31" spans="1:25" x14ac:dyDescent="0.3">
      <c r="S31">
        <v>6.6509353690403922E-2</v>
      </c>
      <c r="T31">
        <v>0.25789407455465885</v>
      </c>
      <c r="U31">
        <v>3.7999999999999999E-2</v>
      </c>
      <c r="V31">
        <v>1.0279784411548032</v>
      </c>
      <c r="W31">
        <v>0.7680008591635471</v>
      </c>
      <c r="X31">
        <v>1.5430974184359684E-2</v>
      </c>
      <c r="Y31">
        <v>-0.81141027450270986</v>
      </c>
    </row>
    <row r="32" spans="1:25" x14ac:dyDescent="0.3">
      <c r="S32">
        <v>6.5917027428744807E-2</v>
      </c>
      <c r="T32">
        <v>0.25674311564040975</v>
      </c>
      <c r="U32">
        <v>3.9E-2</v>
      </c>
      <c r="V32">
        <v>1.0155845130098098</v>
      </c>
      <c r="W32">
        <v>0.76241178806072163</v>
      </c>
      <c r="X32">
        <v>2.0961566425806558E-2</v>
      </c>
      <c r="Y32">
        <v>-0.79895786749633801</v>
      </c>
    </row>
    <row r="33" spans="19:25" x14ac:dyDescent="0.3">
      <c r="S33">
        <v>6.5349417439686169E-2</v>
      </c>
      <c r="T33">
        <v>0.25563532118955345</v>
      </c>
      <c r="U33">
        <v>0.04</v>
      </c>
      <c r="V33">
        <v>1.0031904515573047</v>
      </c>
      <c r="W33">
        <v>0.75682292266639384</v>
      </c>
      <c r="X33">
        <v>2.6492194545183839E-2</v>
      </c>
      <c r="Y33">
        <v>-0.78650556876888233</v>
      </c>
    </row>
    <row r="34" spans="19:25" x14ac:dyDescent="0.3">
      <c r="S34">
        <v>6.4806523769913443E-2</v>
      </c>
      <c r="T34">
        <v>0.25457125479895298</v>
      </c>
      <c r="U34">
        <v>4.1000000000000002E-2</v>
      </c>
      <c r="V34">
        <v>0.99079651694389026</v>
      </c>
      <c r="W34">
        <v>0.75123383862259785</v>
      </c>
      <c r="X34">
        <v>3.2022842156373105E-2</v>
      </c>
      <c r="Y34">
        <v>-0.77405319772286119</v>
      </c>
    </row>
    <row r="35" spans="19:25" x14ac:dyDescent="0.3">
      <c r="S35">
        <v>6.4288346372740529E-2</v>
      </c>
      <c r="T35">
        <v>0.25355146691104063</v>
      </c>
      <c r="U35">
        <v>4.2000000000000003E-2</v>
      </c>
      <c r="V35">
        <v>0.97840256451228835</v>
      </c>
      <c r="W35">
        <v>0.74564480338600714</v>
      </c>
      <c r="X35">
        <v>3.7553444867140399E-2</v>
      </c>
      <c r="Y35">
        <v>-0.76160081276543579</v>
      </c>
    </row>
    <row r="36" spans="19:25" x14ac:dyDescent="0.3">
      <c r="S36">
        <v>6.3794885250243377E-2</v>
      </c>
      <c r="T36">
        <v>0.252576493859273</v>
      </c>
      <c r="U36">
        <v>4.2999999999999997E-2</v>
      </c>
      <c r="V36">
        <v>0.96600856913271671</v>
      </c>
      <c r="W36">
        <v>0.74005579915804232</v>
      </c>
      <c r="X36">
        <v>4.3084138170658814E-2</v>
      </c>
      <c r="Y36">
        <v>-0.74914850646141795</v>
      </c>
    </row>
    <row r="37" spans="19:25" x14ac:dyDescent="0.3">
      <c r="S37">
        <v>6.3326140442876488E-2</v>
      </c>
      <c r="T37">
        <v>0.2516468566123497</v>
      </c>
      <c r="U37">
        <v>4.3999999999999997E-2</v>
      </c>
      <c r="V37">
        <v>0.95361450289791139</v>
      </c>
      <c r="W37">
        <v>0.73446694140738378</v>
      </c>
      <c r="X37">
        <v>4.8614770062240298E-2</v>
      </c>
      <c r="Y37">
        <v>-0.73669621436753552</v>
      </c>
    </row>
    <row r="38" spans="19:25" x14ac:dyDescent="0.3">
      <c r="S38">
        <v>6.2882111910186334E-2</v>
      </c>
      <c r="T38">
        <v>0.25076305930137782</v>
      </c>
      <c r="U38">
        <v>4.4999999999999998E-2</v>
      </c>
      <c r="V38">
        <v>0.94122047850518076</v>
      </c>
      <c r="W38">
        <v>0.72887800096886246</v>
      </c>
      <c r="X38">
        <v>5.4145429841088159E-2</v>
      </c>
      <c r="Y38">
        <v>-0.72424390931513138</v>
      </c>
    </row>
    <row r="39" spans="19:25" x14ac:dyDescent="0.3">
      <c r="S39">
        <v>6.2462799665657515E-2</v>
      </c>
      <c r="T39">
        <v>0.24992558825710007</v>
      </c>
      <c r="U39">
        <v>4.5999999999999999E-2</v>
      </c>
      <c r="V39">
        <v>0.92882649717539867</v>
      </c>
      <c r="W39">
        <v>0.72328900503902682</v>
      </c>
      <c r="X39">
        <v>5.9676052659334462E-2</v>
      </c>
      <c r="Y39">
        <v>-0.71179155487376</v>
      </c>
    </row>
    <row r="40" spans="19:25" x14ac:dyDescent="0.3">
      <c r="S40">
        <v>6.2068203698576352E-2</v>
      </c>
      <c r="T40">
        <v>0.24913491063794402</v>
      </c>
      <c r="U40">
        <v>4.7E-2</v>
      </c>
      <c r="V40">
        <v>0.91643246602994854</v>
      </c>
      <c r="W40">
        <v>0.71770008549512354</v>
      </c>
      <c r="X40">
        <v>6.5206689037510868E-2</v>
      </c>
      <c r="Y40">
        <v>-0.69933924056258312</v>
      </c>
    </row>
    <row r="41" spans="19:25" x14ac:dyDescent="0.3">
      <c r="S41">
        <v>6.1698324031063956E-2</v>
      </c>
      <c r="T41">
        <v>0.24839147334613554</v>
      </c>
      <c r="U41">
        <v>4.8000000000000001E-2</v>
      </c>
      <c r="V41">
        <v>0.90403841694411324</v>
      </c>
      <c r="W41">
        <v>0.71211119753039953</v>
      </c>
      <c r="X41">
        <v>7.0737323120050419E-2</v>
      </c>
      <c r="Y41">
        <v>-0.68688693759456321</v>
      </c>
    </row>
    <row r="42" spans="19:25" x14ac:dyDescent="0.3">
      <c r="S42">
        <v>6.1353202720424493E-2</v>
      </c>
      <c r="T42">
        <v>0.24769578664245481</v>
      </c>
      <c r="U42">
        <v>4.9000000000000002E-2</v>
      </c>
      <c r="V42">
        <v>0.89183418996302988</v>
      </c>
      <c r="W42">
        <v>0.70601569621676119</v>
      </c>
      <c r="X42">
        <v>7.6699862014350861E-2</v>
      </c>
      <c r="Y42">
        <v>-0.67454974819414193</v>
      </c>
    </row>
    <row r="43" spans="19:25" x14ac:dyDescent="0.3">
      <c r="S43">
        <v>6.1032713561238516E-2</v>
      </c>
      <c r="T43">
        <v>0.24704799849672637</v>
      </c>
      <c r="U43">
        <v>0.05</v>
      </c>
      <c r="V43">
        <v>0.87925049962511115</v>
      </c>
      <c r="W43">
        <v>0.70093310862785485</v>
      </c>
      <c r="X43">
        <v>8.1798617637312415E-2</v>
      </c>
      <c r="Y43">
        <v>-0.66198222589027822</v>
      </c>
    </row>
    <row r="44" spans="19:25" x14ac:dyDescent="0.3">
      <c r="S44">
        <v>6.073701583035096E-2</v>
      </c>
      <c r="T44">
        <v>0.24644880975640956</v>
      </c>
      <c r="U44">
        <v>5.0999999999999997E-2</v>
      </c>
      <c r="V44">
        <v>0.86705768099208524</v>
      </c>
      <c r="W44">
        <v>0.69485569721051843</v>
      </c>
      <c r="X44">
        <v>8.7676920734492098E-2</v>
      </c>
      <c r="Y44">
        <v>-0.64959029893709574</v>
      </c>
    </row>
    <row r="45" spans="19:25" x14ac:dyDescent="0.3">
      <c r="S45">
        <v>6.0465968243201246E-2</v>
      </c>
      <c r="T45">
        <v>0.2458982884104752</v>
      </c>
      <c r="U45">
        <v>5.1999999999999998E-2</v>
      </c>
      <c r="V45">
        <v>0.85446251717425792</v>
      </c>
      <c r="W45">
        <v>0.68975513287496815</v>
      </c>
      <c r="X45">
        <v>9.2859901587967947E-2</v>
      </c>
      <c r="Y45">
        <v>-0.63707755163719415</v>
      </c>
    </row>
    <row r="46" spans="19:25" x14ac:dyDescent="0.3">
      <c r="S46">
        <v>6.0219670015914925E-2</v>
      </c>
      <c r="T46">
        <v>0.24539696415382756</v>
      </c>
      <c r="U46">
        <v>5.2999999999999999E-2</v>
      </c>
      <c r="V46">
        <v>0.84206846710113381</v>
      </c>
      <c r="W46">
        <v>0.68416624473119747</v>
      </c>
      <c r="X46">
        <v>9.839053969167677E-2</v>
      </c>
      <c r="Y46">
        <v>-0.62462525152400794</v>
      </c>
    </row>
    <row r="47" spans="19:25" x14ac:dyDescent="0.3">
      <c r="S47">
        <v>5.9998088077369796E-2</v>
      </c>
      <c r="T47">
        <v>0.24494507155150069</v>
      </c>
      <c r="U47">
        <v>5.3999999999999999E-2</v>
      </c>
      <c r="V47">
        <v>0.82967453570261906</v>
      </c>
      <c r="W47">
        <v>0.67857715251741779</v>
      </c>
      <c r="X47">
        <v>0.10392119217134611</v>
      </c>
      <c r="Y47">
        <v>-0.61217288039138273</v>
      </c>
    </row>
    <row r="48" spans="19:25" x14ac:dyDescent="0.3">
      <c r="S48">
        <v>5.9801222426984685E-2</v>
      </c>
      <c r="T48">
        <v>0.24454288463781701</v>
      </c>
      <c r="U48">
        <v>5.5E-2</v>
      </c>
      <c r="V48">
        <v>0.81728049663267588</v>
      </c>
      <c r="W48">
        <v>0.67298824717616379</v>
      </c>
      <c r="X48">
        <v>0.10945182780537296</v>
      </c>
      <c r="Y48">
        <v>-0.59972057161421255</v>
      </c>
    </row>
    <row r="49" spans="19:25" x14ac:dyDescent="0.3">
      <c r="S49">
        <v>5.962908510172954E-2</v>
      </c>
      <c r="T49">
        <v>0.24419067365837202</v>
      </c>
      <c r="U49">
        <v>5.6000000000000001E-2</v>
      </c>
      <c r="V49">
        <v>0.80506064667544408</v>
      </c>
      <c r="W49">
        <v>0.66704635812400859</v>
      </c>
      <c r="X49">
        <v>0.11512473935270487</v>
      </c>
      <c r="Y49">
        <v>-0.58723174415215729</v>
      </c>
    </row>
    <row r="50" spans="19:25" x14ac:dyDescent="0.3">
      <c r="S50">
        <v>5.9481639990919016E-2</v>
      </c>
      <c r="T50">
        <v>0.24388858109989286</v>
      </c>
      <c r="U50">
        <v>5.7000000000000002E-2</v>
      </c>
      <c r="V50">
        <v>0.79249259795573401</v>
      </c>
      <c r="W50">
        <v>0.66181012792084104</v>
      </c>
      <c r="X50">
        <v>0.12051312065449303</v>
      </c>
      <c r="Y50">
        <v>-0.57481584653106854</v>
      </c>
    </row>
    <row r="51" spans="19:25" x14ac:dyDescent="0.3">
      <c r="S51">
        <v>5.9358928953686163E-2</v>
      </c>
      <c r="T51">
        <v>0.24363687929721592</v>
      </c>
      <c r="U51">
        <v>5.8000000000000003E-2</v>
      </c>
      <c r="V51">
        <v>0.78023324286119622</v>
      </c>
      <c r="W51">
        <v>0.65596327997897452</v>
      </c>
      <c r="X51">
        <v>0.12611974202968934</v>
      </c>
      <c r="Y51">
        <v>-0.56231626486985997</v>
      </c>
    </row>
    <row r="52" spans="19:25" x14ac:dyDescent="0.3">
      <c r="S52">
        <v>5.9260922707160227E-2</v>
      </c>
      <c r="T52">
        <v>0.24343566441086695</v>
      </c>
      <c r="U52">
        <v>5.8999999999999997E-2</v>
      </c>
      <c r="V52">
        <v>0.7677043784487575</v>
      </c>
      <c r="W52">
        <v>0.65063255872132419</v>
      </c>
      <c r="X52">
        <v>0.13157437856990681</v>
      </c>
      <c r="Y52">
        <v>-0.54991131573998853</v>
      </c>
    </row>
    <row r="53" spans="19:25" x14ac:dyDescent="0.3">
      <c r="S53">
        <v>5.918764009548641E-2</v>
      </c>
      <c r="T53">
        <v>0.24328510043873713</v>
      </c>
      <c r="U53">
        <v>0.06</v>
      </c>
      <c r="V53">
        <v>0.755388653654396</v>
      </c>
      <c r="W53">
        <v>0.64490102063120491</v>
      </c>
      <c r="X53">
        <v>0.13713250622458323</v>
      </c>
      <c r="Y53">
        <v>-0.53742218051018431</v>
      </c>
    </row>
    <row r="54" spans="19:25" x14ac:dyDescent="0.3">
      <c r="S54">
        <v>5.9139070576087041E-2</v>
      </c>
      <c r="T54">
        <v>0.24318525978374397</v>
      </c>
      <c r="U54">
        <v>6.0999999999999999E-2</v>
      </c>
      <c r="V54">
        <v>0.74291644727394657</v>
      </c>
      <c r="W54">
        <v>0.63945449391887876</v>
      </c>
      <c r="X54">
        <v>0.14263567064634131</v>
      </c>
      <c r="Y54">
        <v>-0.52500661183916653</v>
      </c>
    </row>
    <row r="55" spans="19:25" x14ac:dyDescent="0.3">
      <c r="S55" s="70">
        <v>5.9115218953757792E-2</v>
      </c>
      <c r="T55" s="70">
        <v>0.2431362148133383</v>
      </c>
      <c r="U55" s="71">
        <v>6.2E-2</v>
      </c>
      <c r="V55" s="71">
        <v>0.73052935697530552</v>
      </c>
      <c r="W55" s="71">
        <v>0.63385348555634602</v>
      </c>
      <c r="X55" s="71">
        <v>0.14816749223907713</v>
      </c>
      <c r="Y55" s="71">
        <v>-0.51255033477072853</v>
      </c>
    </row>
    <row r="56" spans="19:25" x14ac:dyDescent="0.3">
      <c r="S56" s="55">
        <v>5.911608359771349E-2</v>
      </c>
      <c r="T56" s="55">
        <v>0.24313799291290017</v>
      </c>
      <c r="U56" s="55">
        <v>6.3E-2</v>
      </c>
      <c r="V56" s="55">
        <v>0.71812839993095146</v>
      </c>
      <c r="W56" s="55">
        <v>0.6282766297853607</v>
      </c>
      <c r="X56" s="55">
        <v>0.15369694670204925</v>
      </c>
      <c r="Y56" s="55">
        <v>-0.50010197641836118</v>
      </c>
    </row>
    <row r="57" spans="19:25" x14ac:dyDescent="0.3">
      <c r="S57" s="55">
        <v>5.9141664540781944E-2</v>
      </c>
      <c r="T57" s="55">
        <v>0.24319059303513765</v>
      </c>
      <c r="U57" s="55">
        <v>6.4000000000000001E-2</v>
      </c>
      <c r="V57" s="55">
        <v>0.70573436682075574</v>
      </c>
      <c r="W57" s="55">
        <v>0.62268771410656509</v>
      </c>
      <c r="X57" s="55">
        <v>0.15922758325172498</v>
      </c>
      <c r="Y57" s="55">
        <v>-0.48764966417904559</v>
      </c>
    </row>
    <row r="58" spans="19:25" x14ac:dyDescent="0.3">
      <c r="S58" s="55">
        <v>5.9191964379057424E-2</v>
      </c>
      <c r="T58" s="55">
        <v>0.24329398755221515</v>
      </c>
      <c r="U58" s="55">
        <v>6.5000000000000002E-2</v>
      </c>
      <c r="V58" s="55">
        <v>0.6932221622523953</v>
      </c>
      <c r="W58" s="55">
        <v>0.6172928851867826</v>
      </c>
      <c r="X58" s="55">
        <v>0.16476472721454907</v>
      </c>
      <c r="Y58" s="55">
        <v>-0.47527977465372684</v>
      </c>
    </row>
    <row r="59" spans="19:25" x14ac:dyDescent="0.3">
      <c r="S59" s="55">
        <v>5.9266979778510101E-2</v>
      </c>
      <c r="T59" s="55">
        <v>0.24344810489816943</v>
      </c>
      <c r="U59" s="55">
        <v>6.6000000000000003E-2</v>
      </c>
      <c r="V59" s="55">
        <v>0.68078841886506292</v>
      </c>
      <c r="W59" s="55">
        <v>0.61176552713814092</v>
      </c>
      <c r="X59" s="55">
        <v>0.17030586638018655</v>
      </c>
      <c r="Y59" s="55">
        <v>-0.46285981238339036</v>
      </c>
    </row>
    <row r="60" spans="19:25" x14ac:dyDescent="0.3">
      <c r="S60" s="55">
        <v>5.9366705099077072E-2</v>
      </c>
      <c r="T60" s="55">
        <v>0.24365283724815739</v>
      </c>
      <c r="U60" s="55">
        <v>6.7000000000000101E-2</v>
      </c>
      <c r="V60" s="55">
        <v>0.66855238752061719</v>
      </c>
      <c r="W60" s="55">
        <v>0.60592075870966333</v>
      </c>
      <c r="X60" s="55">
        <v>0.17581951171325977</v>
      </c>
      <c r="Y60" s="55">
        <v>-0.45029265794354056</v>
      </c>
    </row>
    <row r="61" spans="19:25" x14ac:dyDescent="0.3">
      <c r="S61" s="55">
        <v>5.9491151194660932E-2</v>
      </c>
      <c r="T61" s="55">
        <v>0.24390807939603176</v>
      </c>
      <c r="U61" s="55">
        <v>6.8000000000000102E-2</v>
      </c>
      <c r="V61" s="55">
        <v>0.65615847108007141</v>
      </c>
      <c r="W61" s="55">
        <v>0.60033164056114352</v>
      </c>
      <c r="X61" s="55">
        <v>0.18135016653575825</v>
      </c>
      <c r="Y61" s="55">
        <v>-0.43784027817697302</v>
      </c>
    </row>
    <row r="62" spans="19:25" x14ac:dyDescent="0.3">
      <c r="S62" s="55">
        <v>5.9640313578533964E-2</v>
      </c>
      <c r="T62" s="55">
        <v>0.24421366378344592</v>
      </c>
      <c r="U62" s="55">
        <v>6.9000000000000103E-2</v>
      </c>
      <c r="V62" s="55">
        <v>0.64376446598924364</v>
      </c>
      <c r="W62" s="55">
        <v>0.59474267624607324</v>
      </c>
      <c r="X62" s="55">
        <v>0.18688080748665464</v>
      </c>
      <c r="Y62" s="55">
        <v>-0.42538794972197141</v>
      </c>
    </row>
    <row r="63" spans="19:25" x14ac:dyDescent="0.3">
      <c r="S63" s="55">
        <v>5.9814209612427963E-2</v>
      </c>
      <c r="T63" s="55">
        <v>0.24456943720021102</v>
      </c>
      <c r="U63" s="55">
        <v>7.0000000000000104E-2</v>
      </c>
      <c r="V63" s="55">
        <v>0.6310390373920628</v>
      </c>
      <c r="W63" s="55">
        <v>0.58965571525905336</v>
      </c>
      <c r="X63" s="55">
        <v>0.19252580173059536</v>
      </c>
      <c r="Y63" s="55">
        <v>-0.41322055438171146</v>
      </c>
    </row>
    <row r="64" spans="19:25" x14ac:dyDescent="0.3">
      <c r="S64" s="55">
        <v>6.0012806060756749E-2</v>
      </c>
      <c r="T64" s="55">
        <v>0.24497511314571679</v>
      </c>
      <c r="U64" s="55">
        <v>7.1000000000000105E-2</v>
      </c>
      <c r="V64" s="55">
        <v>0.61862997580043322</v>
      </c>
      <c r="W64" s="55">
        <v>0.58408687209579768</v>
      </c>
      <c r="X64" s="55">
        <v>0.19806773265607933</v>
      </c>
      <c r="Y64" s="55">
        <v>-0.40078458055231042</v>
      </c>
    </row>
    <row r="65" spans="19:25" x14ac:dyDescent="0.3">
      <c r="S65" s="55">
        <v>6.023612088345142E-2</v>
      </c>
      <c r="T65" s="55">
        <v>0.24543048075463533</v>
      </c>
      <c r="U65" s="55">
        <v>7.2000000000000106E-2</v>
      </c>
      <c r="V65" s="55">
        <v>0.60620181007310603</v>
      </c>
      <c r="W65" s="55">
        <v>0.57854212108372804</v>
      </c>
      <c r="X65" s="55">
        <v>0.20362725392760855</v>
      </c>
      <c r="Y65" s="55">
        <v>-0.38837118508444257</v>
      </c>
    </row>
    <row r="66" spans="19:25" x14ac:dyDescent="0.3">
      <c r="S66" s="55">
        <v>6.048412599629778E-2</v>
      </c>
      <c r="T66" s="55">
        <v>0.24593520690681475</v>
      </c>
      <c r="U66" s="55">
        <v>7.3000000000000106E-2</v>
      </c>
      <c r="V66" s="55">
        <v>0.59418858620493042</v>
      </c>
      <c r="W66" s="55">
        <v>0.57238657713395347</v>
      </c>
      <c r="X66" s="55">
        <v>0.20900338830302254</v>
      </c>
      <c r="Y66" s="55">
        <v>-0.37557855164190629</v>
      </c>
    </row>
    <row r="67" spans="19:25" x14ac:dyDescent="0.3">
      <c r="S67" s="55">
        <v>6.0756903207732131E-2</v>
      </c>
      <c r="T67" s="55">
        <v>0.24648915434098137</v>
      </c>
      <c r="U67" s="55">
        <v>7.4000000000000093E-2</v>
      </c>
      <c r="V67" s="55">
        <v>0.58132421841334125</v>
      </c>
      <c r="W67" s="55">
        <v>0.5674731902243576</v>
      </c>
      <c r="X67" s="55">
        <v>0.21478003852641347</v>
      </c>
      <c r="Y67" s="55">
        <v>-0.3635774471641125</v>
      </c>
    </row>
    <row r="68" spans="19:25" x14ac:dyDescent="0.3">
      <c r="S68" s="55">
        <v>6.1054329934087187E-2</v>
      </c>
      <c r="T68" s="55">
        <v>0.247091743961807</v>
      </c>
      <c r="U68" s="55">
        <v>7.5000000000000094E-2</v>
      </c>
      <c r="V68" s="55">
        <v>0.56940026321019344</v>
      </c>
      <c r="W68" s="55">
        <v>0.56120918575224155</v>
      </c>
      <c r="X68" s="55">
        <v>0.22006463409725074</v>
      </c>
      <c r="Y68" s="55">
        <v>-0.35067408305968578</v>
      </c>
    </row>
    <row r="69" spans="19:25" x14ac:dyDescent="0.3">
      <c r="S69" s="55">
        <v>6.137650633416461E-2</v>
      </c>
      <c r="T69" s="55">
        <v>0.2477428229720583</v>
      </c>
      <c r="U69" s="55">
        <v>7.6000000000000095E-2</v>
      </c>
      <c r="V69" s="55">
        <v>0.55700652561903319</v>
      </c>
      <c r="W69" s="55">
        <v>0.5556197606909522</v>
      </c>
      <c r="X69" s="55">
        <v>0.22559530906653208</v>
      </c>
      <c r="Y69" s="55">
        <v>-0.33822159537651753</v>
      </c>
    </row>
    <row r="70" spans="19:25" x14ac:dyDescent="0.3">
      <c r="S70" s="55">
        <v>6.1723444384765132E-2</v>
      </c>
      <c r="T70" s="55">
        <v>0.24844203425500511</v>
      </c>
      <c r="U70" s="55">
        <v>7.7000000000000096E-2</v>
      </c>
      <c r="V70" s="55">
        <v>0.54406352431268601</v>
      </c>
      <c r="W70" s="55">
        <v>0.5507923950224265</v>
      </c>
      <c r="X70" s="55">
        <v>0.23147419992615417</v>
      </c>
      <c r="Y70" s="55">
        <v>-0.32633011926126676</v>
      </c>
    </row>
    <row r="71" spans="19:25" x14ac:dyDescent="0.3">
      <c r="S71" s="55">
        <v>6.2095008001934793E-2</v>
      </c>
      <c r="T71" s="55">
        <v>0.24918869958714981</v>
      </c>
      <c r="U71" s="55">
        <v>7.8000000000000097E-2</v>
      </c>
      <c r="V71" s="55">
        <v>0.53221842310556167</v>
      </c>
      <c r="W71" s="55">
        <v>0.54444199282572225</v>
      </c>
      <c r="X71" s="55">
        <v>0.23665657517120314</v>
      </c>
      <c r="Y71" s="55">
        <v>-0.31331699110248723</v>
      </c>
    </row>
    <row r="72" spans="19:25" x14ac:dyDescent="0.3">
      <c r="S72" s="55">
        <v>6.249133326614105E-2</v>
      </c>
      <c r="T72" s="55">
        <v>0.24998266593134222</v>
      </c>
      <c r="U72" s="55">
        <v>7.9000000000000098E-2</v>
      </c>
      <c r="V72" s="55">
        <v>0.51982456912876562</v>
      </c>
      <c r="W72" s="55">
        <v>0.53885276571506058</v>
      </c>
      <c r="X72" s="55">
        <v>0.24218724113718348</v>
      </c>
      <c r="Y72" s="55">
        <v>-0.30086457598100985</v>
      </c>
    </row>
    <row r="73" spans="19:25" x14ac:dyDescent="0.3">
      <c r="S73" s="55">
        <v>6.2912374819784594E-2</v>
      </c>
      <c r="T73" s="55">
        <v>0.25082339368524736</v>
      </c>
      <c r="U73" s="55">
        <v>8.0000000000000099E-2</v>
      </c>
      <c r="V73" s="55">
        <v>0.5074305171912139</v>
      </c>
      <c r="W73" s="55">
        <v>0.53326388271402192</v>
      </c>
      <c r="X73" s="55">
        <v>0.24771787474117274</v>
      </c>
      <c r="Y73" s="55">
        <v>-0.2884122746464084</v>
      </c>
    </row>
    <row r="74" spans="19:25" x14ac:dyDescent="0.3">
      <c r="S74" s="55">
        <v>6.3358132661592667E-2</v>
      </c>
      <c r="T74" s="55">
        <v>0.25171041428910457</v>
      </c>
      <c r="U74" s="55">
        <v>8.10000000000001E-2</v>
      </c>
      <c r="V74" s="55">
        <v>0.49503650600850785</v>
      </c>
      <c r="W74" s="55">
        <v>0.52767492897327639</v>
      </c>
      <c r="X74" s="55">
        <v>0.25324851473579102</v>
      </c>
      <c r="Y74" s="55">
        <v>-0.27595994971757504</v>
      </c>
    </row>
    <row r="75" spans="19:25" x14ac:dyDescent="0.3">
      <c r="S75" s="55">
        <v>6.3828669703827043E-2</v>
      </c>
      <c r="T75" s="55">
        <v>0.25264336465426329</v>
      </c>
      <c r="U75" s="55">
        <v>8.2000000000000101E-2</v>
      </c>
      <c r="V75" s="55">
        <v>0.48200526734180832</v>
      </c>
      <c r="W75" s="55">
        <v>0.52292674466120193</v>
      </c>
      <c r="X75" s="55">
        <v>0.25928151362681479</v>
      </c>
      <c r="Y75" s="55">
        <v>-0.26421352562982514</v>
      </c>
    </row>
    <row r="76" spans="19:25" x14ac:dyDescent="0.3">
      <c r="S76" s="55">
        <v>6.4323797211557759E-2</v>
      </c>
      <c r="T76" s="55">
        <v>0.25362136584199241</v>
      </c>
      <c r="U76" s="55">
        <v>8.3000000000000101E-2</v>
      </c>
      <c r="V76" s="55">
        <v>0.47024842898716973</v>
      </c>
      <c r="W76" s="55">
        <v>0.51649711815147514</v>
      </c>
      <c r="X76" s="55">
        <v>0.26430978188883958</v>
      </c>
      <c r="Y76" s="55">
        <v>-0.25105532902748434</v>
      </c>
    </row>
    <row r="77" spans="19:25" x14ac:dyDescent="0.3">
      <c r="S77" s="55">
        <v>6.4843703915986775E-2</v>
      </c>
      <c r="T77" s="55">
        <v>0.25464426935626644</v>
      </c>
      <c r="U77" s="55">
        <v>8.4000000000000102E-2</v>
      </c>
      <c r="V77" s="55">
        <v>0.45785425541430397</v>
      </c>
      <c r="W77" s="55">
        <v>0.51090844442887051</v>
      </c>
      <c r="X77" s="55">
        <v>0.26984040081473926</v>
      </c>
      <c r="Y77" s="55">
        <v>-0.23860310065791362</v>
      </c>
    </row>
    <row r="78" spans="19:25" x14ac:dyDescent="0.3">
      <c r="S78" s="55">
        <v>6.5388326910437333E-2</v>
      </c>
      <c r="T78" s="55">
        <v>0.255711413336279</v>
      </c>
      <c r="U78" s="55">
        <v>8.5000000000000103E-2</v>
      </c>
      <c r="V78" s="55">
        <v>0.4454603463394754</v>
      </c>
      <c r="W78" s="55">
        <v>0.50531931348717374</v>
      </c>
      <c r="X78" s="55">
        <v>0.27537105674918227</v>
      </c>
      <c r="Y78" s="55">
        <v>-0.22615071657583161</v>
      </c>
    </row>
    <row r="79" spans="19:25" x14ac:dyDescent="0.3">
      <c r="S79" s="55">
        <v>6.5957666193053752E-2</v>
      </c>
      <c r="T79" s="55">
        <v>0.25682224629703276</v>
      </c>
      <c r="U79" s="55">
        <v>8.6000000000000104E-2</v>
      </c>
      <c r="V79" s="55">
        <v>0.43306627622965282</v>
      </c>
      <c r="W79" s="55">
        <v>0.49973046200576221</v>
      </c>
      <c r="X79" s="55">
        <v>0.2809016875550277</v>
      </c>
      <c r="Y79" s="55">
        <v>-0.21369842579044274</v>
      </c>
    </row>
    <row r="80" spans="19:25" x14ac:dyDescent="0.3">
      <c r="S80" s="55">
        <v>6.6551721763828148E-2</v>
      </c>
      <c r="T80" s="55">
        <v>0.25797620387126435</v>
      </c>
      <c r="U80" s="55">
        <v>8.7000000000000105E-2</v>
      </c>
      <c r="V80" s="55">
        <v>0.42067243107404834</v>
      </c>
      <c r="W80" s="55">
        <v>0.49414122012464634</v>
      </c>
      <c r="X80" s="55">
        <v>0.28643235349542823</v>
      </c>
      <c r="Y80" s="55">
        <v>-0.20124600469412296</v>
      </c>
    </row>
    <row r="81" spans="19:25" x14ac:dyDescent="0.3">
      <c r="S81" s="55">
        <v>6.7170572622363797E-2</v>
      </c>
      <c r="T81" s="55">
        <v>0.25917286243425214</v>
      </c>
      <c r="U81" s="55">
        <v>8.8000000000000106E-2</v>
      </c>
      <c r="V81" s="55">
        <v>0.40758559724037985</v>
      </c>
      <c r="W81" s="55">
        <v>0.48942171011809593</v>
      </c>
      <c r="X81" s="55">
        <v>0.29261061406008088</v>
      </c>
      <c r="Y81" s="55">
        <v>-0.18961792141855663</v>
      </c>
    </row>
    <row r="82" spans="19:25" x14ac:dyDescent="0.3">
      <c r="S82" s="55">
        <v>6.7813981772349444E-2</v>
      </c>
      <c r="T82" s="55">
        <v>0.26041117827840926</v>
      </c>
      <c r="U82" s="55">
        <v>8.9000000000000107E-2</v>
      </c>
      <c r="V82" s="55">
        <v>0.39588454372672988</v>
      </c>
      <c r="W82" s="55">
        <v>0.48296308926079828</v>
      </c>
      <c r="X82" s="55">
        <v>0.29749362953926128</v>
      </c>
      <c r="Y82" s="55">
        <v>-0.17634126252678939</v>
      </c>
    </row>
    <row r="83" spans="19:25" x14ac:dyDescent="0.3">
      <c r="S83" s="55">
        <v>6.8482269470998405E-2</v>
      </c>
      <c r="T83" s="55">
        <v>0.2616911719393652</v>
      </c>
      <c r="U83" s="55">
        <v>9.0000000000000094E-2</v>
      </c>
      <c r="V83" s="55">
        <v>0.3827869758540749</v>
      </c>
      <c r="W83" s="55">
        <v>0.47824423005643696</v>
      </c>
      <c r="X83" s="55">
        <v>0.30371102809401013</v>
      </c>
      <c r="Y83" s="55">
        <v>-0.16474223400452206</v>
      </c>
    </row>
    <row r="84" spans="19:25" x14ac:dyDescent="0.3">
      <c r="S84" s="55">
        <v>6.9175106931208541E-2</v>
      </c>
      <c r="T84" s="55">
        <v>0.26301160987912403</v>
      </c>
      <c r="U84" s="55">
        <v>9.1000000000000095E-2</v>
      </c>
      <c r="V84" s="55">
        <v>0.37109635525795953</v>
      </c>
      <c r="W84" s="55">
        <v>0.47178545815452111</v>
      </c>
      <c r="X84" s="55">
        <v>0.3085549105815939</v>
      </c>
      <c r="Y84" s="55">
        <v>-0.15143672399407443</v>
      </c>
    </row>
    <row r="85" spans="19:25" x14ac:dyDescent="0.3">
      <c r="S85" s="55">
        <v>6.9892831034391839E-2</v>
      </c>
      <c r="T85" s="55">
        <v>0.26437252322129062</v>
      </c>
      <c r="U85" s="55">
        <v>9.2000000000000096E-2</v>
      </c>
      <c r="V85" s="55">
        <v>0.35799103584742004</v>
      </c>
      <c r="W85" s="55">
        <v>0.46706395299082965</v>
      </c>
      <c r="X85" s="55">
        <v>0.31480764632124619</v>
      </c>
      <c r="Y85" s="55">
        <v>-0.13986263515949621</v>
      </c>
    </row>
    <row r="86" spans="19:25" x14ac:dyDescent="0.3">
      <c r="S86" s="55">
        <v>7.0635097242709555E-2</v>
      </c>
      <c r="T86" s="55">
        <v>0.26577264201326206</v>
      </c>
      <c r="U86" s="55">
        <v>9.3000000000000096E-2</v>
      </c>
      <c r="V86" s="55">
        <v>0.34630841911274896</v>
      </c>
      <c r="W86" s="55">
        <v>0.46060740606552902</v>
      </c>
      <c r="X86" s="55">
        <v>0.31961619263121571</v>
      </c>
      <c r="Y86" s="55">
        <v>-0.12653201780949352</v>
      </c>
    </row>
    <row r="87" spans="19:25" x14ac:dyDescent="0.3">
      <c r="S87" s="55">
        <v>7.1402257303036287E-2</v>
      </c>
      <c r="T87" s="55">
        <v>0.26721200815651286</v>
      </c>
      <c r="U87" s="55">
        <v>9.4000000000000097E-2</v>
      </c>
      <c r="V87" s="55">
        <v>0.33319740860814773</v>
      </c>
      <c r="W87" s="55">
        <v>0.45588150525218457</v>
      </c>
      <c r="X87" s="55">
        <v>0.32590044155084102</v>
      </c>
      <c r="Y87" s="55">
        <v>-0.11497935541117334</v>
      </c>
    </row>
    <row r="88" spans="19:25" x14ac:dyDescent="0.3">
      <c r="S88" s="55">
        <v>7.2194024212341668E-2</v>
      </c>
      <c r="T88" s="55">
        <v>0.26868945683137935</v>
      </c>
      <c r="U88" s="55">
        <v>9.5000000000000098E-2</v>
      </c>
      <c r="V88" s="55">
        <v>0.32090730147238788</v>
      </c>
      <c r="W88" s="55">
        <v>0.4501370347952896</v>
      </c>
      <c r="X88" s="55">
        <v>0.33139099583008363</v>
      </c>
      <c r="Y88" s="55">
        <v>-0.10243533209776111</v>
      </c>
    </row>
    <row r="89" spans="19:25" x14ac:dyDescent="0.3">
      <c r="S89" s="55">
        <v>7.3010527874505154E-2</v>
      </c>
      <c r="T89" s="55">
        <v>0.27020460372559374</v>
      </c>
      <c r="U89" s="55">
        <v>9.6000000000000099E-2</v>
      </c>
      <c r="V89" s="55">
        <v>0.30851569936070611</v>
      </c>
      <c r="W89" s="55">
        <v>0.44453506301602647</v>
      </c>
      <c r="X89" s="55">
        <v>0.33694207492072165</v>
      </c>
      <c r="Y89" s="55">
        <v>-8.9992837297454095E-2</v>
      </c>
    </row>
    <row r="90" spans="19:25" x14ac:dyDescent="0.3">
      <c r="S90" s="55">
        <v>7.3851673323005906E-2</v>
      </c>
      <c r="T90" s="55">
        <v>0.27175664356737611</v>
      </c>
      <c r="U90" s="55">
        <v>9.70000000000001E-2</v>
      </c>
      <c r="V90" s="55">
        <v>0.29673236561258626</v>
      </c>
      <c r="W90" s="55">
        <v>0.43825160333352453</v>
      </c>
      <c r="X90" s="55">
        <v>0.34173875806533621</v>
      </c>
      <c r="Y90" s="55">
        <v>-7.6722727011446779E-2</v>
      </c>
    </row>
    <row r="91" spans="19:25" x14ac:dyDescent="0.3">
      <c r="S91" s="55">
        <v>7.4717704278754668E-2</v>
      </c>
      <c r="T91" s="55">
        <v>0.27334539373977873</v>
      </c>
      <c r="U91" s="55">
        <v>9.8000000000000101E-2</v>
      </c>
      <c r="V91" s="55">
        <v>0.28361499629140025</v>
      </c>
      <c r="W91" s="55">
        <v>0.43351252484448805</v>
      </c>
      <c r="X91" s="55">
        <v>0.34807698421181649</v>
      </c>
      <c r="Y91" s="55">
        <v>-6.5204505347704736E-2</v>
      </c>
    </row>
    <row r="92" spans="19:25" x14ac:dyDescent="0.3">
      <c r="S92" s="55">
        <v>7.5608259093032232E-2</v>
      </c>
      <c r="T92" s="55">
        <v>0.27496956030264919</v>
      </c>
      <c r="U92" s="55">
        <v>9.9000000000000102E-2</v>
      </c>
      <c r="V92" s="55">
        <v>0.27194426862411591</v>
      </c>
      <c r="W92" s="55">
        <v>0.42707381790192978</v>
      </c>
      <c r="X92" s="55">
        <v>0.35280004328899112</v>
      </c>
      <c r="Y92" s="55">
        <v>-5.181812981503682E-2</v>
      </c>
    </row>
    <row r="93" spans="19:25" x14ac:dyDescent="0.3">
      <c r="S93" s="55">
        <v>7.6523626406590495E-2</v>
      </c>
      <c r="T93" s="55">
        <v>0.27662904114823245</v>
      </c>
      <c r="U93" s="55">
        <v>0.1</v>
      </c>
      <c r="V93" s="55">
        <v>0.25955028196218438</v>
      </c>
      <c r="W93" s="55">
        <v>0.42148482795063213</v>
      </c>
      <c r="X93" s="55">
        <v>0.35833067290841758</v>
      </c>
      <c r="Y93" s="55">
        <v>-3.9365782821234055E-2</v>
      </c>
    </row>
    <row r="94" spans="19:25" x14ac:dyDescent="0.3">
      <c r="S94" s="55">
        <v>7.7463710011627801E-2</v>
      </c>
      <c r="T94" s="55">
        <v>0.27832303176637718</v>
      </c>
      <c r="U94" s="55">
        <v>0.10100000000000001</v>
      </c>
      <c r="V94" s="55">
        <v>0.24715619496446328</v>
      </c>
      <c r="W94" s="55">
        <v>0.41589600577420105</v>
      </c>
      <c r="X94" s="55">
        <v>0.3638613010841647</v>
      </c>
      <c r="Y94" s="55">
        <v>-2.691350182282919E-2</v>
      </c>
    </row>
    <row r="95" spans="19:25" x14ac:dyDescent="0.3">
      <c r="S95" s="55">
        <v>7.8428509904818894E-2</v>
      </c>
      <c r="T95" s="55">
        <v>0.28005090591679738</v>
      </c>
      <c r="U95" s="55">
        <v>0.10199999999999999</v>
      </c>
      <c r="V95" s="55">
        <v>0.23476231222620514</v>
      </c>
      <c r="W95" s="55">
        <v>0.41030681561362958</v>
      </c>
      <c r="X95" s="55">
        <v>0.3693919918095942</v>
      </c>
      <c r="Y95" s="55">
        <v>-1.4461119649428995E-2</v>
      </c>
    </row>
    <row r="96" spans="19:25" x14ac:dyDescent="0.3">
      <c r="S96" s="55">
        <v>7.9418026086174653E-2</v>
      </c>
      <c r="T96" s="55">
        <v>0.28181204034990176</v>
      </c>
      <c r="U96" s="55">
        <v>0.10299999999999999</v>
      </c>
      <c r="V96" s="55">
        <v>0.22236827550767554</v>
      </c>
      <c r="W96" s="55">
        <v>0.40471788261958835</v>
      </c>
      <c r="X96" s="55">
        <v>0.37492268132569945</v>
      </c>
      <c r="Y96" s="55">
        <v>-2.0088394529635101E-3</v>
      </c>
    </row>
    <row r="97" spans="19:25" x14ac:dyDescent="0.3">
      <c r="S97" s="55">
        <v>8.0432258555691596E-2</v>
      </c>
      <c r="T97" s="55">
        <v>0.28360581544758845</v>
      </c>
      <c r="U97" s="55">
        <v>0.104</v>
      </c>
      <c r="V97" s="55">
        <v>0.20997433553733105</v>
      </c>
      <c r="W97" s="55">
        <v>0.39912884930791076</v>
      </c>
      <c r="X97" s="55">
        <v>0.38045323251565322</v>
      </c>
      <c r="Y97" s="55">
        <v>1.0443582639104934E-2</v>
      </c>
    </row>
    <row r="98" spans="19:25" x14ac:dyDescent="0.3">
      <c r="S98" s="55">
        <v>8.1471207313369959E-2</v>
      </c>
      <c r="T98" s="55">
        <v>0.28543161582657578</v>
      </c>
      <c r="U98" s="55">
        <v>0.105</v>
      </c>
      <c r="V98" s="55">
        <v>0.19758032696944872</v>
      </c>
      <c r="W98" s="55">
        <v>0.39353988449650462</v>
      </c>
      <c r="X98" s="55">
        <v>0.38598388774976872</v>
      </c>
      <c r="Y98" s="55">
        <v>2.28959007842779E-2</v>
      </c>
    </row>
    <row r="99" spans="19:25" x14ac:dyDescent="0.3">
      <c r="S99" s="55">
        <v>8.2534872359209949E-2</v>
      </c>
      <c r="T99" s="55">
        <v>0.28728883089881851</v>
      </c>
      <c r="U99" s="55">
        <v>0.106</v>
      </c>
      <c r="V99" s="55">
        <v>0.18518632006564084</v>
      </c>
      <c r="W99" s="55">
        <v>0.38795092213905819</v>
      </c>
      <c r="X99" s="55">
        <v>0.3915145311162172</v>
      </c>
      <c r="Y99" s="55">
        <v>3.5348226679083716E-2</v>
      </c>
    </row>
    <row r="100" spans="19:25" x14ac:dyDescent="0.3">
      <c r="S100" s="55">
        <v>8.3623253693211219E-2</v>
      </c>
      <c r="T100" s="55">
        <v>0.28917685538993471</v>
      </c>
      <c r="U100" s="55">
        <v>0.107</v>
      </c>
      <c r="V100" s="55">
        <v>0.17279232508502917</v>
      </c>
      <c r="W100" s="55">
        <v>0.38236194460497314</v>
      </c>
      <c r="X100" s="55">
        <v>0.39704516382293797</v>
      </c>
      <c r="Y100" s="55">
        <v>4.7800566487059784E-2</v>
      </c>
    </row>
    <row r="101" spans="19:25" x14ac:dyDescent="0.3">
      <c r="S101" s="55">
        <v>8.4736457484047872E-2</v>
      </c>
      <c r="T101" s="55">
        <v>0.29109527217742281</v>
      </c>
      <c r="U101" s="55">
        <v>0.108</v>
      </c>
      <c r="V101" s="55">
        <v>0.1596751427600229</v>
      </c>
      <c r="W101" s="55">
        <v>0.37758060253618519</v>
      </c>
      <c r="X101" s="55">
        <v>0.40347863199241663</v>
      </c>
      <c r="Y101" s="55">
        <v>5.9265622711375379E-2</v>
      </c>
    </row>
    <row r="102" spans="19:25" x14ac:dyDescent="0.3">
      <c r="S102" s="55">
        <v>8.5874242172590057E-2</v>
      </c>
      <c r="T102" s="55">
        <v>0.29304307221394954</v>
      </c>
      <c r="U102" s="55">
        <v>0.109</v>
      </c>
      <c r="V102" s="55">
        <v>0.14744237745886946</v>
      </c>
      <c r="W102" s="55">
        <v>0.37175797996664589</v>
      </c>
      <c r="X102" s="55">
        <v>0.4089296435805187</v>
      </c>
      <c r="Y102" s="55">
        <v>7.1869998993965858E-2</v>
      </c>
    </row>
    <row r="103" spans="19:25" x14ac:dyDescent="0.3">
      <c r="S103" s="55">
        <v>8.7036772944863144E-2</v>
      </c>
      <c r="T103" s="55">
        <v>0.29501995346902071</v>
      </c>
      <c r="U103" s="55">
        <v>0.11</v>
      </c>
      <c r="V103" s="55">
        <v>0.13505467900715537</v>
      </c>
      <c r="W103" s="55">
        <v>0.36615426818303759</v>
      </c>
      <c r="X103" s="55">
        <v>0.41446990236443226</v>
      </c>
      <c r="Y103" s="55">
        <v>8.4321150445374832E-2</v>
      </c>
    </row>
    <row r="104" spans="19:25" x14ac:dyDescent="0.3">
      <c r="S104" s="55">
        <v>8.8224019167892243E-2</v>
      </c>
      <c r="T104" s="55">
        <v>0.29702528371822529</v>
      </c>
      <c r="U104" s="55">
        <v>0.111</v>
      </c>
      <c r="V104" s="55">
        <v>0.12266694434472106</v>
      </c>
      <c r="W104" s="55">
        <v>0.36055374612455832</v>
      </c>
      <c r="X104" s="55">
        <v>0.4200030565720051</v>
      </c>
      <c r="Y104" s="55">
        <v>9.67762529587156E-2</v>
      </c>
    </row>
    <row r="105" spans="19:25" x14ac:dyDescent="0.3">
      <c r="S105" s="55">
        <v>8.9435904688474496E-2</v>
      </c>
      <c r="T105" s="55">
        <v>0.29905836334815067</v>
      </c>
      <c r="U105" s="55">
        <v>0.112</v>
      </c>
      <c r="V105" s="55">
        <v>0.11082245359316512</v>
      </c>
      <c r="W105" s="55">
        <v>0.35441686545866458</v>
      </c>
      <c r="X105" s="55">
        <v>0.42469837064777433</v>
      </c>
      <c r="Y105" s="55">
        <v>0.11006231030039604</v>
      </c>
    </row>
    <row r="106" spans="19:25" x14ac:dyDescent="0.3">
      <c r="S106" s="55">
        <v>9.0672693292658729E-2</v>
      </c>
      <c r="T106" s="55">
        <v>0.30111906829800522</v>
      </c>
      <c r="U106" s="55">
        <v>0.113</v>
      </c>
      <c r="V106" s="55">
        <v>9.7709349816146998E-2</v>
      </c>
      <c r="W106" s="55">
        <v>0.34961419953720896</v>
      </c>
      <c r="X106" s="55">
        <v>0.43116481750202218</v>
      </c>
      <c r="Y106" s="55">
        <v>0.12151163314462174</v>
      </c>
    </row>
    <row r="107" spans="19:25" x14ac:dyDescent="0.3">
      <c r="S107" s="55">
        <v>9.1933979104022498E-2</v>
      </c>
      <c r="T107" s="55">
        <v>0.30320616600594141</v>
      </c>
      <c r="U107" s="55">
        <v>0.114</v>
      </c>
      <c r="V107" s="55">
        <v>8.6034204154043892E-2</v>
      </c>
      <c r="W107" s="55">
        <v>0.34323932936354162</v>
      </c>
      <c r="X107" s="55">
        <v>0.43575966663078997</v>
      </c>
      <c r="Y107" s="55">
        <v>0.13496679985162446</v>
      </c>
    </row>
    <row r="108" spans="19:25" x14ac:dyDescent="0.3">
      <c r="S108" s="55">
        <v>9.3220090739028816E-2</v>
      </c>
      <c r="T108" s="55">
        <v>0.30531965337827305</v>
      </c>
      <c r="U108" s="55">
        <v>0.115</v>
      </c>
      <c r="V108" s="55">
        <v>7.3640379010320459E-2</v>
      </c>
      <c r="W108" s="55">
        <v>0.33765006225495897</v>
      </c>
      <c r="X108" s="55">
        <v>0.44129031430558052</v>
      </c>
      <c r="Y108" s="55">
        <v>0.14741924442913992</v>
      </c>
    </row>
    <row r="109" spans="19:25" x14ac:dyDescent="0.3">
      <c r="S109" s="55">
        <v>9.4530918666483416E-2</v>
      </c>
      <c r="T109" s="55">
        <v>0.30745880808082798</v>
      </c>
      <c r="U109" s="55">
        <v>0.11600000000000001</v>
      </c>
      <c r="V109" s="55">
        <v>6.1246448187169809E-2</v>
      </c>
      <c r="W109" s="55">
        <v>0.3320609690329423</v>
      </c>
      <c r="X109" s="55">
        <v>0.44682096689725809</v>
      </c>
      <c r="Y109" s="55">
        <v>0.15987161588262988</v>
      </c>
    </row>
    <row r="110" spans="19:25" x14ac:dyDescent="0.3">
      <c r="S110" s="55">
        <v>9.5866462882094272E-2</v>
      </c>
      <c r="T110" s="55">
        <v>0.30962309810815841</v>
      </c>
      <c r="U110" s="55">
        <v>0.11700000000000001</v>
      </c>
      <c r="V110" s="55">
        <v>4.8852406984498678E-2</v>
      </c>
      <c r="W110" s="55">
        <v>0.32647206739861784</v>
      </c>
      <c r="X110" s="55">
        <v>0.45235160218533643</v>
      </c>
      <c r="Y110" s="55">
        <v>0.17232392343154712</v>
      </c>
    </row>
    <row r="111" spans="19:25" x14ac:dyDescent="0.3">
      <c r="S111" s="55">
        <v>9.7226723385870323E-2</v>
      </c>
      <c r="T111" s="55">
        <v>0.31181200006714033</v>
      </c>
      <c r="U111" s="55">
        <v>0.11799999999999999</v>
      </c>
      <c r="V111" s="55">
        <v>3.6458414735285799E-2</v>
      </c>
      <c r="W111" s="55">
        <v>0.32088308079499916</v>
      </c>
      <c r="X111" s="55">
        <v>0.4578822451473103</v>
      </c>
      <c r="Y111" s="55">
        <v>0.18477625932240477</v>
      </c>
    </row>
    <row r="112" spans="19:25" x14ac:dyDescent="0.3">
      <c r="S112" s="55">
        <v>9.8611812875762567E-2</v>
      </c>
      <c r="T112" s="55">
        <v>0.31402517872897162</v>
      </c>
      <c r="U112" s="55">
        <v>0.11899999999999999</v>
      </c>
      <c r="V112" s="55">
        <v>2.3351744433072592E-2</v>
      </c>
      <c r="W112" s="55">
        <v>0.3160559719994766</v>
      </c>
      <c r="X112" s="55">
        <v>0.46437984092287438</v>
      </c>
      <c r="Y112" s="55">
        <v>0.19621244264457649</v>
      </c>
    </row>
    <row r="113" spans="19:25" x14ac:dyDescent="0.3">
      <c r="S113" s="55">
        <v>0.10002139326252775</v>
      </c>
      <c r="T113" s="55">
        <v>0.31626158992601006</v>
      </c>
      <c r="U113" s="55">
        <v>0.12</v>
      </c>
      <c r="V113" s="55">
        <v>1.1670149509081507E-2</v>
      </c>
      <c r="W113" s="55">
        <v>0.30970558116661606</v>
      </c>
      <c r="X113" s="55">
        <v>0.46894351795687983</v>
      </c>
      <c r="Y113" s="55">
        <v>0.2096807513674227</v>
      </c>
    </row>
    <row r="114" spans="19:25" x14ac:dyDescent="0.3">
      <c r="S114" s="55">
        <v>0.10145580262616405</v>
      </c>
      <c r="T114" s="55">
        <v>0.31852127499770566</v>
      </c>
      <c r="U114" s="55">
        <v>0.121</v>
      </c>
      <c r="V114" s="55">
        <v>-7.2380231140988091E-4</v>
      </c>
      <c r="W114" s="55">
        <v>0.30411653803902955</v>
      </c>
      <c r="X114" s="55">
        <v>0.47447413644564496</v>
      </c>
      <c r="Y114" s="55">
        <v>0.22213312782673553</v>
      </c>
    </row>
    <row r="115" spans="19:25" x14ac:dyDescent="0.3">
      <c r="S115" s="55">
        <v>0.10291492828258525</v>
      </c>
      <c r="T115" s="55">
        <v>0.32080356650540104</v>
      </c>
      <c r="U115" s="55">
        <v>0.122</v>
      </c>
      <c r="V115" s="55">
        <v>-1.3117839245962508E-2</v>
      </c>
      <c r="W115" s="55">
        <v>0.29852762898369195</v>
      </c>
      <c r="X115" s="55">
        <v>0.48000477243177614</v>
      </c>
      <c r="Y115" s="55">
        <v>0.23458543783049429</v>
      </c>
    </row>
    <row r="116" spans="19:25" x14ac:dyDescent="0.3">
      <c r="S116" s="55">
        <v>0.10439877022716562</v>
      </c>
      <c r="T116" s="55">
        <v>0.32310798539677971</v>
      </c>
      <c r="U116" s="55">
        <v>0.123</v>
      </c>
      <c r="V116" s="55">
        <v>-2.5511807253477823E-2</v>
      </c>
      <c r="W116" s="55">
        <v>0.29293860031437258</v>
      </c>
      <c r="X116" s="55">
        <v>0.48553541916890874</v>
      </c>
      <c r="Y116" s="55">
        <v>0.24703778777019658</v>
      </c>
    </row>
    <row r="117" spans="19:25" x14ac:dyDescent="0.3">
      <c r="S117" s="55">
        <v>0.10590732845990652</v>
      </c>
      <c r="T117" s="55">
        <v>0.32543406161603078</v>
      </c>
      <c r="U117" s="55">
        <v>0.124</v>
      </c>
      <c r="V117" s="55">
        <v>-3.7905710592173639E-2</v>
      </c>
      <c r="W117" s="55">
        <v>0.28734945940953821</v>
      </c>
      <c r="X117" s="55">
        <v>0.49106607601816565</v>
      </c>
      <c r="Y117" s="55">
        <v>0.25949017516446987</v>
      </c>
    </row>
    <row r="118" spans="19:25" x14ac:dyDescent="0.3">
      <c r="S118" s="55">
        <v>0.10744060298081211</v>
      </c>
      <c r="T118" s="55">
        <v>0.32778133409456389</v>
      </c>
      <c r="U118" s="55">
        <v>0.125</v>
      </c>
      <c r="V118" s="55">
        <v>-5.0299845004071309E-2</v>
      </c>
      <c r="W118" s="55">
        <v>0.28176071952414117</v>
      </c>
      <c r="X118" s="55">
        <v>0.49659669677607288</v>
      </c>
      <c r="Y118" s="55">
        <v>0.27194242870385704</v>
      </c>
    </row>
    <row r="119" spans="19:25" x14ac:dyDescent="0.3">
      <c r="S119" s="55">
        <v>0.10899859378987647</v>
      </c>
      <c r="T119" s="55">
        <v>0.33014935073368912</v>
      </c>
      <c r="U119" s="55">
        <v>0.126</v>
      </c>
      <c r="V119" s="55">
        <v>-6.2693694067078309E-2</v>
      </c>
      <c r="W119" s="55">
        <v>0.27617148442699663</v>
      </c>
      <c r="X119" s="55">
        <v>0.50212736209976849</v>
      </c>
      <c r="Y119" s="55">
        <v>0.2843948475403133</v>
      </c>
    </row>
    <row r="120" spans="19:25" x14ac:dyDescent="0.3">
      <c r="S120" s="55">
        <v>0.11058130088710107</v>
      </c>
      <c r="T120" s="55">
        <v>0.33253766837322513</v>
      </c>
      <c r="U120" s="55">
        <v>0.127</v>
      </c>
      <c r="V120" s="55">
        <v>-7.5087776706815615E-2</v>
      </c>
      <c r="W120" s="55">
        <v>0.27058265469960496</v>
      </c>
      <c r="X120" s="55">
        <v>0.50765799092862796</v>
      </c>
      <c r="Y120" s="55">
        <v>0.29684713107858274</v>
      </c>
    </row>
    <row r="121" spans="19:25" x14ac:dyDescent="0.3">
      <c r="S121" s="55">
        <v>0.11218872427248988</v>
      </c>
      <c r="T121" s="55">
        <v>0.33494585274711175</v>
      </c>
      <c r="U121" s="55">
        <v>0.128</v>
      </c>
      <c r="V121" s="55">
        <v>-8.7481699012878458E-2</v>
      </c>
      <c r="W121" s="55">
        <v>0.26499354670877806</v>
      </c>
      <c r="X121" s="55">
        <v>0.51318864482256643</v>
      </c>
      <c r="Y121" s="55">
        <v>0.30929950748153406</v>
      </c>
    </row>
    <row r="122" spans="19:25" x14ac:dyDescent="0.3">
      <c r="S122" s="55">
        <v>0.11382086394603755</v>
      </c>
      <c r="T122" s="55">
        <v>0.33737347842715432</v>
      </c>
      <c r="U122" s="55">
        <v>0.129</v>
      </c>
      <c r="V122" s="55">
        <v>-9.9875740222242021E-2</v>
      </c>
      <c r="W122" s="55">
        <v>0.2594046450792743</v>
      </c>
      <c r="X122" s="55">
        <v>0.51871928012502821</v>
      </c>
      <c r="Y122" s="55">
        <v>0.3217518150179397</v>
      </c>
    </row>
    <row r="123" spans="19:25" x14ac:dyDescent="0.3">
      <c r="S123" s="55">
        <v>0.11547771990775468</v>
      </c>
      <c r="T123" s="55">
        <v>0.33982012875601508</v>
      </c>
      <c r="U123" s="55">
        <v>0.13</v>
      </c>
      <c r="V123" s="55">
        <v>-0.11226957467215089</v>
      </c>
      <c r="W123" s="55">
        <v>0.25381538458775682</v>
      </c>
      <c r="X123" s="55">
        <v>0.52424994780804268</v>
      </c>
      <c r="Y123" s="55">
        <v>0.33420424227635148</v>
      </c>
    </row>
    <row r="124" spans="19:25" x14ac:dyDescent="0.3">
      <c r="S124" s="55">
        <v>0.11715940920693367</v>
      </c>
      <c r="T124" s="55">
        <v>0.34228556675228605</v>
      </c>
      <c r="U124" s="55">
        <v>0.13100000000000001</v>
      </c>
      <c r="V124" s="55">
        <v>-0.12536222241644909</v>
      </c>
      <c r="W124" s="55">
        <v>0.24894556529241671</v>
      </c>
      <c r="X124" s="55">
        <v>0.5307914496236894</v>
      </c>
      <c r="Y124" s="55">
        <v>0.34562520750034309</v>
      </c>
    </row>
    <row r="125" spans="19:25" x14ac:dyDescent="0.3">
      <c r="S125" s="55">
        <v>0.11886558070090478</v>
      </c>
      <c r="T125" s="55">
        <v>0.34476888012247392</v>
      </c>
      <c r="U125" s="55">
        <v>0.13200000000000001</v>
      </c>
      <c r="V125" s="55">
        <v>-0.13705756274423822</v>
      </c>
      <c r="W125" s="55">
        <v>0.24263743750186137</v>
      </c>
      <c r="X125" s="55">
        <v>0.53531118778650222</v>
      </c>
      <c r="Y125" s="55">
        <v>0.35910893745587474</v>
      </c>
    </row>
    <row r="126" spans="19:25" x14ac:dyDescent="0.3">
      <c r="S126" s="55">
        <v>0.12059658552184703</v>
      </c>
      <c r="T126" s="55">
        <v>0.34727019094913264</v>
      </c>
      <c r="U126" s="55">
        <v>0.13300000000000001</v>
      </c>
      <c r="V126" s="55">
        <v>-0.14945164657069504</v>
      </c>
      <c r="W126" s="55">
        <v>0.23704858993098335</v>
      </c>
      <c r="X126" s="55">
        <v>0.54084186178017202</v>
      </c>
      <c r="Y126" s="55">
        <v>0.37156119485953981</v>
      </c>
    </row>
    <row r="127" spans="19:25" x14ac:dyDescent="0.3">
      <c r="S127" s="55">
        <v>0.12235230663621309</v>
      </c>
      <c r="T127" s="55">
        <v>0.34978894584622466</v>
      </c>
      <c r="U127" s="55">
        <v>0.13400000000000001</v>
      </c>
      <c r="V127" s="55">
        <v>-0.1618455198775802</v>
      </c>
      <c r="W127" s="55">
        <v>0.23145939686732928</v>
      </c>
      <c r="X127" s="55">
        <v>0.54637252341011056</v>
      </c>
      <c r="Y127" s="55">
        <v>0.3840135996001402</v>
      </c>
    </row>
    <row r="128" spans="19:25" x14ac:dyDescent="0.3">
      <c r="S128" s="55">
        <v>0.12413274403871949</v>
      </c>
      <c r="T128" s="55">
        <v>0.35232477068568352</v>
      </c>
      <c r="U128" s="55">
        <v>0.13500000000000001</v>
      </c>
      <c r="V128" s="55">
        <v>-0.17423962569626772</v>
      </c>
      <c r="W128" s="55">
        <v>0.22587060739821455</v>
      </c>
      <c r="X128" s="55">
        <v>0.55190314854593525</v>
      </c>
      <c r="Y128" s="55">
        <v>0.39646586975211773</v>
      </c>
    </row>
    <row r="129" spans="19:25" x14ac:dyDescent="0.3">
      <c r="S129" s="55">
        <v>0.12593789772940145</v>
      </c>
      <c r="T129" s="55">
        <v>0.35487729954084335</v>
      </c>
      <c r="U129" s="55">
        <v>0.13600000000000001</v>
      </c>
      <c r="V129" s="55">
        <v>-0.18663358944029845</v>
      </c>
      <c r="W129" s="55">
        <v>0.22028157131494522</v>
      </c>
      <c r="X129" s="55">
        <v>0.55743379598260479</v>
      </c>
      <c r="Y129" s="55">
        <v>0.40891822214274853</v>
      </c>
    </row>
    <row r="130" spans="19:25" x14ac:dyDescent="0.3">
      <c r="S130" s="55">
        <v>0.12776776770823345</v>
      </c>
      <c r="T130" s="55">
        <v>0.35744617456091687</v>
      </c>
      <c r="U130" s="55">
        <v>0.13700000000000001</v>
      </c>
      <c r="V130" s="55">
        <v>-0.19902776859618465</v>
      </c>
      <c r="W130" s="55">
        <v>0.21469290911597844</v>
      </c>
      <c r="X130" s="55">
        <v>0.56296440967289185</v>
      </c>
      <c r="Y130" s="55">
        <v>0.42137044980731442</v>
      </c>
    </row>
    <row r="131" spans="19:25" x14ac:dyDescent="0.3">
      <c r="S131" s="55">
        <v>0.1296223539752413</v>
      </c>
      <c r="T131" s="55">
        <v>0.3600310458491619</v>
      </c>
      <c r="U131" s="55">
        <v>0.13800000000000001</v>
      </c>
      <c r="V131" s="55">
        <v>-0.21142191704204416</v>
      </c>
      <c r="W131" s="55">
        <v>0.20910419358065599</v>
      </c>
      <c r="X131" s="55">
        <v>0.56849502825091613</v>
      </c>
      <c r="Y131" s="55">
        <v>0.43382269521047201</v>
      </c>
    </row>
    <row r="132" spans="19:25" x14ac:dyDescent="0.3">
      <c r="S132" s="55">
        <v>0.13150165653040288</v>
      </c>
      <c r="T132" s="55">
        <v>0.36263157133708435</v>
      </c>
      <c r="U132" s="55">
        <v>0.13900000000000001</v>
      </c>
      <c r="V132" s="55">
        <v>-0.22381588076394962</v>
      </c>
      <c r="W132" s="55">
        <v>0.20351515747580542</v>
      </c>
      <c r="X132" s="55">
        <v>0.57402567565284535</v>
      </c>
      <c r="Y132" s="55">
        <v>0.44627504763529885</v>
      </c>
    </row>
    <row r="133" spans="19:25" x14ac:dyDescent="0.3">
      <c r="S133" s="55">
        <v>0.13340567537372286</v>
      </c>
      <c r="T133" s="55">
        <v>0.36524741665578259</v>
      </c>
      <c r="U133" s="55">
        <v>0.14000000000000001</v>
      </c>
      <c r="V133" s="55">
        <v>-0.23620973839547155</v>
      </c>
      <c r="W133" s="55">
        <v>0.19792593724755686</v>
      </c>
      <c r="X133" s="55">
        <v>0.57955633964161002</v>
      </c>
      <c r="Y133" s="55">
        <v>0.45872746150630456</v>
      </c>
    </row>
    <row r="134" spans="19:25" x14ac:dyDescent="0.3">
      <c r="S134" s="55">
        <v>0.13533441050520467</v>
      </c>
      <c r="T134" s="55">
        <v>0.36787825500456622</v>
      </c>
      <c r="U134" s="55">
        <v>0.14099999999999999</v>
      </c>
      <c r="V134" s="55">
        <v>-0.2486037838531259</v>
      </c>
      <c r="W134" s="55">
        <v>0.19233704299127852</v>
      </c>
      <c r="X134" s="55">
        <v>0.58508697427950018</v>
      </c>
      <c r="Y134" s="55">
        <v>0.47117976658234723</v>
      </c>
    </row>
    <row r="135" spans="19:25" x14ac:dyDescent="0.3">
      <c r="S135" s="55">
        <v>0.13728786192485454</v>
      </c>
      <c r="T135" s="55">
        <v>0.37052376701752149</v>
      </c>
      <c r="U135" s="55">
        <v>0.14199999999999999</v>
      </c>
      <c r="V135" s="55">
        <v>-0.26099790973407566</v>
      </c>
      <c r="W135" s="55">
        <v>0.18674828829728085</v>
      </c>
      <c r="X135" s="55">
        <v>0.59061759637760924</v>
      </c>
      <c r="Y135" s="55">
        <v>0.48363202505918579</v>
      </c>
    </row>
    <row r="136" spans="19:25" x14ac:dyDescent="0.3">
      <c r="S136" s="55">
        <v>0.13926602963266108</v>
      </c>
      <c r="T136" s="55">
        <v>0.37318364062839232</v>
      </c>
      <c r="U136" s="55">
        <v>0.14299999999999999</v>
      </c>
      <c r="V136" s="55">
        <v>-0.27339186917527181</v>
      </c>
      <c r="W136" s="55">
        <v>0.18115924476265885</v>
      </c>
      <c r="X136" s="55">
        <v>0.59614824444985481</v>
      </c>
      <c r="Y136" s="55">
        <v>0.49608437996275812</v>
      </c>
    </row>
    <row r="137" spans="19:25" x14ac:dyDescent="0.3">
      <c r="S137" s="55">
        <v>0.14126891362862704</v>
      </c>
      <c r="T137" s="55">
        <v>0.37585757093429289</v>
      </c>
      <c r="U137" s="55">
        <v>0.14399999999999999</v>
      </c>
      <c r="V137" s="55">
        <v>-0.285785752567704</v>
      </c>
      <c r="W137" s="55">
        <v>0.17557006924053492</v>
      </c>
      <c r="X137" s="55">
        <v>0.60167890441736072</v>
      </c>
      <c r="Y137" s="55">
        <v>0.50853677890980831</v>
      </c>
    </row>
    <row r="138" spans="19:25" x14ac:dyDescent="0.3">
      <c r="S138" s="55">
        <v>0.14329663412281604</v>
      </c>
      <c r="T138" s="55">
        <v>0.37854541883744419</v>
      </c>
      <c r="U138" s="55">
        <v>0.14499999999999999</v>
      </c>
      <c r="V138" s="55">
        <v>-0.29886291676697235</v>
      </c>
      <c r="W138" s="55">
        <v>0.17066004134396889</v>
      </c>
      <c r="X138" s="55">
        <v>0.60825310422836409</v>
      </c>
      <c r="Y138" s="55">
        <v>0.51994977119463925</v>
      </c>
    </row>
    <row r="139" spans="19:25" x14ac:dyDescent="0.3">
      <c r="S139" s="55">
        <v>0.14534883049097733</v>
      </c>
      <c r="T139" s="55">
        <v>0.38124641702051093</v>
      </c>
      <c r="U139" s="55">
        <v>0.14599999999999999</v>
      </c>
      <c r="V139" s="55">
        <v>-0.31057355584062946</v>
      </c>
      <c r="W139" s="55">
        <v>0.16439180741954881</v>
      </c>
      <c r="X139" s="55">
        <v>0.61274015969937179</v>
      </c>
      <c r="Y139" s="55">
        <v>0.53344158872170899</v>
      </c>
    </row>
    <row r="140" spans="19:25" x14ac:dyDescent="0.3">
      <c r="S140" s="55">
        <v>0.14742586334549418</v>
      </c>
      <c r="T140" s="55">
        <v>0.38396075755927739</v>
      </c>
      <c r="U140" s="55">
        <v>0.14699999999999999</v>
      </c>
      <c r="V140" s="55">
        <v>-0.32296773830154485</v>
      </c>
      <c r="W140" s="55">
        <v>0.15880312502720459</v>
      </c>
      <c r="X140" s="55">
        <v>0.61827083189470888</v>
      </c>
      <c r="Y140" s="55">
        <v>0.54589378137963129</v>
      </c>
    </row>
    <row r="141" spans="19:25" x14ac:dyDescent="0.3">
      <c r="S141" s="55">
        <v>0.14952761249411206</v>
      </c>
      <c r="T141" s="55">
        <v>0.38668800407319603</v>
      </c>
      <c r="U141" s="55">
        <v>0.14799999999999999</v>
      </c>
      <c r="V141" s="55">
        <v>-0.33536190994961712</v>
      </c>
      <c r="W141" s="55">
        <v>0.1532144497698307</v>
      </c>
      <c r="X141" s="55">
        <v>0.62380144682307626</v>
      </c>
      <c r="Y141" s="55">
        <v>0.55834601335671008</v>
      </c>
    </row>
    <row r="142" spans="19:25" x14ac:dyDescent="0.3">
      <c r="S142" s="55">
        <v>0.15165407793088687</v>
      </c>
      <c r="T142" s="55">
        <v>0.38942788540484213</v>
      </c>
      <c r="U142" s="55">
        <v>0.14899999999999999</v>
      </c>
      <c r="V142" s="55">
        <v>-0.34775584791626057</v>
      </c>
      <c r="W142" s="55">
        <v>0.14762536896583939</v>
      </c>
      <c r="X142" s="55">
        <v>0.6293320982517705</v>
      </c>
      <c r="Y142" s="55">
        <v>0.57079838069865052</v>
      </c>
    </row>
    <row r="143" spans="19:25" x14ac:dyDescent="0.3">
      <c r="S143" s="55">
        <v>0.15380525965583136</v>
      </c>
      <c r="T143" s="55">
        <v>0.39218013674309332</v>
      </c>
      <c r="U143" s="55">
        <v>0.15</v>
      </c>
      <c r="V143" s="55">
        <v>-0.36014958480247211</v>
      </c>
      <c r="W143" s="55">
        <v>0.14203593913879201</v>
      </c>
      <c r="X143" s="55">
        <v>0.63486278121227102</v>
      </c>
      <c r="Y143" s="55">
        <v>0.58325086445140906</v>
      </c>
    </row>
    <row r="144" spans="19:25" x14ac:dyDescent="0.3">
      <c r="S144" s="55">
        <v>0.15598115766891485</v>
      </c>
      <c r="T144" s="55">
        <v>0.39494449947924942</v>
      </c>
      <c r="U144" s="55">
        <v>0.151</v>
      </c>
      <c r="V144" s="55">
        <v>-0.37254388885432443</v>
      </c>
      <c r="W144" s="55">
        <v>0.13644749370897066</v>
      </c>
      <c r="X144" s="55">
        <v>0.64039337535749041</v>
      </c>
      <c r="Y144" s="55">
        <v>0.59570301978786344</v>
      </c>
    </row>
    <row r="145" spans="19:25" x14ac:dyDescent="0.3">
      <c r="S145" s="55">
        <v>0.15818177197017785</v>
      </c>
      <c r="T145" s="55">
        <v>0.39772072107218381</v>
      </c>
      <c r="U145" s="55">
        <v>0.152</v>
      </c>
      <c r="V145" s="55">
        <v>-0.38493773298385131</v>
      </c>
      <c r="W145" s="55">
        <v>0.13085825004176732</v>
      </c>
      <c r="X145" s="55">
        <v>0.6459240414702393</v>
      </c>
      <c r="Y145" s="55">
        <v>0.60815544147184486</v>
      </c>
    </row>
    <row r="146" spans="19:25" x14ac:dyDescent="0.3">
      <c r="S146" s="55">
        <v>0.16040710255960056</v>
      </c>
      <c r="T146" s="55">
        <v>0.40050855491437454</v>
      </c>
      <c r="U146" s="55">
        <v>0.153</v>
      </c>
      <c r="V146" s="55">
        <v>-0.39733162842751313</v>
      </c>
      <c r="W146" s="55">
        <v>0.12526909541058498</v>
      </c>
      <c r="X146" s="55">
        <v>0.65145469960896285</v>
      </c>
      <c r="Y146" s="55">
        <v>0.62060783340796521</v>
      </c>
    </row>
    <row r="147" spans="19:25" x14ac:dyDescent="0.3">
      <c r="S147" s="55">
        <v>0.16265714943718301</v>
      </c>
      <c r="T147" s="55">
        <v>0.40330776019955655</v>
      </c>
      <c r="U147" s="55">
        <v>0.154</v>
      </c>
      <c r="V147" s="55">
        <v>-0.40972559035304212</v>
      </c>
      <c r="W147" s="55">
        <v>0.11968005616685931</v>
      </c>
      <c r="X147" s="55">
        <v>0.65698534733998937</v>
      </c>
      <c r="Y147" s="55">
        <v>0.63306018684619325</v>
      </c>
    </row>
    <row r="148" spans="19:25" x14ac:dyDescent="0.3">
      <c r="S148" s="55">
        <v>0.16493191260291912</v>
      </c>
      <c r="T148" s="55">
        <v>0.40611810179173141</v>
      </c>
      <c r="U148" s="55">
        <v>0.155</v>
      </c>
      <c r="V148" s="55">
        <v>-0.42211965150386038</v>
      </c>
      <c r="W148" s="55">
        <v>0.11409118916430855</v>
      </c>
      <c r="X148" s="55">
        <v>0.66251597948405527</v>
      </c>
      <c r="Y148" s="55">
        <v>0.64551248285549645</v>
      </c>
    </row>
    <row r="149" spans="19:25" x14ac:dyDescent="0.3">
      <c r="S149" s="55">
        <v>0.16723139205682333</v>
      </c>
      <c r="T149" s="55">
        <v>0.40893935009585874</v>
      </c>
      <c r="U149" s="55">
        <v>0.156</v>
      </c>
      <c r="V149" s="55">
        <v>-0.43451365564148908</v>
      </c>
      <c r="W149" s="55">
        <v>0.10850222319393653</v>
      </c>
      <c r="X149" s="55">
        <v>0.66804662058617126</v>
      </c>
      <c r="Y149" s="55">
        <v>0.65796481186138123</v>
      </c>
    </row>
    <row r="150" spans="19:25" x14ac:dyDescent="0.3">
      <c r="S150" s="55">
        <v>0.16955558779888741</v>
      </c>
      <c r="T150" s="55">
        <v>0.4117712809301875</v>
      </c>
      <c r="U150" s="55">
        <v>0.157</v>
      </c>
      <c r="V150" s="55">
        <v>-0.44690766406020471</v>
      </c>
      <c r="W150" s="55">
        <v>0.10291326465440112</v>
      </c>
      <c r="X150" s="55">
        <v>0.67357726101701709</v>
      </c>
      <c r="Y150" s="55">
        <v>0.67041713838878669</v>
      </c>
    </row>
    <row r="151" spans="19:25" x14ac:dyDescent="0.3">
      <c r="S151" s="55">
        <v>0.17190449982911682</v>
      </c>
      <c r="T151" s="55">
        <v>0.41461367540050681</v>
      </c>
      <c r="U151" s="55">
        <v>0.158</v>
      </c>
      <c r="V151" s="55">
        <v>-0.45930162021844179</v>
      </c>
      <c r="W151" s="55">
        <v>9.7324215402521064E-2</v>
      </c>
      <c r="X151" s="55">
        <v>0.67910790964702428</v>
      </c>
      <c r="Y151" s="55">
        <v>0.68286949516889628</v>
      </c>
    </row>
    <row r="152" spans="19:25" x14ac:dyDescent="0.3">
      <c r="S152" s="55">
        <v>0.17427812814749832</v>
      </c>
      <c r="T152" s="55">
        <v>0.41746631977621657</v>
      </c>
      <c r="U152" s="55">
        <v>0.159</v>
      </c>
      <c r="V152" s="55">
        <v>-0.47169597592019652</v>
      </c>
      <c r="W152" s="55">
        <v>9.1735859597235639E-2</v>
      </c>
      <c r="X152" s="55">
        <v>0.68463849575231894</v>
      </c>
      <c r="Y152" s="55">
        <v>0.69532162057064184</v>
      </c>
    </row>
    <row r="153" spans="19:25" x14ac:dyDescent="0.3">
      <c r="S153" s="55">
        <v>0.17667647275404852</v>
      </c>
      <c r="T153" s="55">
        <v>0.42032900536847145</v>
      </c>
      <c r="U153" s="55">
        <v>0.16</v>
      </c>
      <c r="V153" s="55">
        <v>-0.48408984344798395</v>
      </c>
      <c r="W153" s="55">
        <v>8.6146656552752554E-2</v>
      </c>
      <c r="X153" s="55">
        <v>0.69016915817445879</v>
      </c>
      <c r="Y153" s="55">
        <v>0.70777402872077255</v>
      </c>
    </row>
    <row r="154" spans="19:25" x14ac:dyDescent="0.3">
      <c r="S154" s="55">
        <v>0.17909953364876838</v>
      </c>
      <c r="T154" s="55">
        <v>0.42320152841024616</v>
      </c>
      <c r="U154" s="55">
        <v>0.161</v>
      </c>
      <c r="V154" s="55">
        <v>-0.49648407694131075</v>
      </c>
      <c r="W154" s="55">
        <v>8.0558088591532601E-2</v>
      </c>
      <c r="X154" s="55">
        <v>0.695699763520782</v>
      </c>
      <c r="Y154" s="55">
        <v>0.72022622482899634</v>
      </c>
    </row>
    <row r="155" spans="19:25" x14ac:dyDescent="0.3">
      <c r="S155" s="55">
        <v>0.18154731083163211</v>
      </c>
      <c r="T155" s="55">
        <v>0.42608368993852852</v>
      </c>
      <c r="U155" s="55">
        <v>0.16200000000000001</v>
      </c>
      <c r="V155" s="55">
        <v>-0.50887775528816226</v>
      </c>
      <c r="W155" s="55">
        <v>7.4968557240864597E-2</v>
      </c>
      <c r="X155" s="55">
        <v>0.70123045546690843</v>
      </c>
      <c r="Y155" s="55">
        <v>0.73267874258038923</v>
      </c>
    </row>
    <row r="156" spans="19:25" x14ac:dyDescent="0.3">
      <c r="S156" s="55">
        <v>0.18401980430265857</v>
      </c>
      <c r="T156" s="55">
        <v>0.42897529567873555</v>
      </c>
      <c r="U156" s="55">
        <v>0.16300000000000001</v>
      </c>
      <c r="V156" s="55">
        <v>-0.52127193856777598</v>
      </c>
      <c r="W156" s="55">
        <v>6.9379902175512986E-2</v>
      </c>
      <c r="X156" s="55">
        <v>0.70676106856537702</v>
      </c>
      <c r="Y156" s="55">
        <v>0.74513096782688615</v>
      </c>
    </row>
    <row r="157" spans="19:25" x14ac:dyDescent="0.3">
      <c r="S157" s="55">
        <v>0.18651701406185411</v>
      </c>
      <c r="T157" s="55">
        <v>0.4318761559311351</v>
      </c>
      <c r="U157" s="55">
        <v>0.16400000000000001</v>
      </c>
      <c r="V157" s="55">
        <v>-0.53366577835937801</v>
      </c>
      <c r="W157" s="55">
        <v>6.3790650982569447E-2</v>
      </c>
      <c r="X157" s="55">
        <v>0.71229173534986789</v>
      </c>
      <c r="Y157" s="55">
        <v>0.75758339202694047</v>
      </c>
    </row>
    <row r="158" spans="19:25" x14ac:dyDescent="0.3">
      <c r="S158" s="55">
        <v>0.18903894010920524</v>
      </c>
      <c r="T158" s="55">
        <v>0.43478608545951103</v>
      </c>
      <c r="U158" s="55">
        <v>0.16500000000000001</v>
      </c>
      <c r="V158" s="55">
        <v>-0.54605990314215269</v>
      </c>
      <c r="W158" s="55">
        <v>5.8201894396817784E-2</v>
      </c>
      <c r="X158" s="55">
        <v>0.71782235758759894</v>
      </c>
      <c r="Y158" s="55">
        <v>0.77003565115773576</v>
      </c>
    </row>
    <row r="159" spans="19:25" x14ac:dyDescent="0.3">
      <c r="S159" s="55">
        <v>0.19158558244472293</v>
      </c>
      <c r="T159" s="55">
        <v>0.43770490338208795</v>
      </c>
      <c r="U159" s="55">
        <v>0.16600000000000001</v>
      </c>
      <c r="V159" s="55">
        <v>-0.55845384366055928</v>
      </c>
      <c r="W159" s="55">
        <v>5.2612818016481239E-2</v>
      </c>
      <c r="X159" s="55">
        <v>0.72335300862874252</v>
      </c>
      <c r="Y159" s="55">
        <v>0.78248801701533566</v>
      </c>
    </row>
    <row r="160" spans="19:25" x14ac:dyDescent="0.3">
      <c r="S160" s="55">
        <v>0.19415694106839995</v>
      </c>
      <c r="T160" s="55">
        <v>0.44063243306456679</v>
      </c>
      <c r="U160" s="55">
        <v>0.16700000000000001</v>
      </c>
      <c r="V160" s="55">
        <v>-0.57084792631485515</v>
      </c>
      <c r="W160" s="55">
        <v>4.7023988309475732E-2</v>
      </c>
      <c r="X160" s="55">
        <v>0.72888363746636808</v>
      </c>
      <c r="Y160" s="55">
        <v>0.79494030053901155</v>
      </c>
    </row>
    <row r="161" spans="19:25" x14ac:dyDescent="0.3">
      <c r="S161" s="55">
        <v>0.19675301598025285</v>
      </c>
      <c r="T161" s="55">
        <v>0.44356850201547543</v>
      </c>
      <c r="U161" s="55">
        <v>0.16800000000000001</v>
      </c>
      <c r="V161" s="55">
        <v>-0.58324160037596762</v>
      </c>
      <c r="W161" s="55">
        <v>4.1434449436991941E-2</v>
      </c>
      <c r="X161" s="55">
        <v>0.73441433027279968</v>
      </c>
      <c r="Y161" s="55">
        <v>0.80739282066617579</v>
      </c>
    </row>
    <row r="162" spans="19:25" x14ac:dyDescent="0.3">
      <c r="S162" s="55">
        <v>0.19937380718023562</v>
      </c>
      <c r="T162" s="55">
        <v>0.44651294178358997</v>
      </c>
      <c r="U162" s="55">
        <v>0.16900000000000001</v>
      </c>
      <c r="V162" s="55">
        <v>-0.59563599156818303</v>
      </c>
      <c r="W162" s="55">
        <v>3.584615524564326E-2</v>
      </c>
      <c r="X162" s="55">
        <v>0.73994491078616731</v>
      </c>
      <c r="Y162" s="55">
        <v>0.81984492553637256</v>
      </c>
    </row>
    <row r="163" spans="19:25" x14ac:dyDescent="0.3">
      <c r="S163" s="55">
        <v>0.20201943802379088</v>
      </c>
      <c r="T163" s="55">
        <v>0.44946572508233695</v>
      </c>
      <c r="U163" s="55">
        <v>0.17</v>
      </c>
      <c r="V163" s="55">
        <v>-0.60869090398731396</v>
      </c>
      <c r="W163" s="55">
        <v>3.0884212690281316E-2</v>
      </c>
      <c r="X163" s="55">
        <v>0.74655277496573158</v>
      </c>
      <c r="Y163" s="55">
        <v>0.83125391633130108</v>
      </c>
    </row>
    <row r="164" spans="19:25" x14ac:dyDescent="0.3">
      <c r="S164" s="55">
        <v>0.20468961305089611</v>
      </c>
      <c r="T164" s="55">
        <v>0.45242636202026965</v>
      </c>
      <c r="U164" s="55">
        <v>0.17100000000000001</v>
      </c>
      <c r="V164" s="55">
        <v>-0.62083632529543442</v>
      </c>
      <c r="W164" s="55">
        <v>2.4969525188781611E-2</v>
      </c>
      <c r="X164" s="55">
        <v>0.75188230806962852</v>
      </c>
      <c r="Y164" s="55">
        <v>0.84398449203702419</v>
      </c>
    </row>
    <row r="165" spans="19:25" x14ac:dyDescent="0.3">
      <c r="S165" s="55">
        <v>0.20738447851248692</v>
      </c>
      <c r="T165" s="55">
        <v>0.45539485999787804</v>
      </c>
      <c r="U165" s="55">
        <v>0.17199999999999999</v>
      </c>
      <c r="V165" s="55">
        <v>-0.63281760198831138</v>
      </c>
      <c r="W165" s="55">
        <v>1.907858584449432E-2</v>
      </c>
      <c r="X165" s="55">
        <v>0.75653683743720512</v>
      </c>
      <c r="Y165" s="55">
        <v>0.85720217870661197</v>
      </c>
    </row>
    <row r="166" spans="19:25" x14ac:dyDescent="0.3">
      <c r="S166" s="55">
        <v>0.2101041348618472</v>
      </c>
      <c r="T166" s="55">
        <v>0.45837117586280141</v>
      </c>
      <c r="U166" s="55">
        <v>0.17299999999999999</v>
      </c>
      <c r="V166" s="55">
        <v>-0.64521172717974895</v>
      </c>
      <c r="W166" s="55">
        <v>1.3489803789451039E-2</v>
      </c>
      <c r="X166" s="55">
        <v>0.76206751910873571</v>
      </c>
      <c r="Y166" s="55">
        <v>0.86965440428156238</v>
      </c>
    </row>
    <row r="167" spans="19:25" x14ac:dyDescent="0.3">
      <c r="S167" s="55">
        <v>0.21284850750265366</v>
      </c>
      <c r="T167" s="55">
        <v>0.46135507746491061</v>
      </c>
      <c r="U167" s="55">
        <v>0.17399999999999999</v>
      </c>
      <c r="V167" s="55">
        <v>-0.65760598409922955</v>
      </c>
      <c r="W167" s="55">
        <v>7.9012765330441544E-3</v>
      </c>
      <c r="X167" s="55">
        <v>0.76759812068353972</v>
      </c>
      <c r="Y167" s="55">
        <v>0.88210658688264565</v>
      </c>
    </row>
    <row r="168" spans="19:25" x14ac:dyDescent="0.3">
      <c r="S168" s="55">
        <v>0.21561772022118797</v>
      </c>
      <c r="T168" s="55">
        <v>0.4643465518566795</v>
      </c>
      <c r="U168" s="55">
        <v>0.17499999999999999</v>
      </c>
      <c r="V168" s="55">
        <v>-0.67065734885499484</v>
      </c>
      <c r="W168" s="55">
        <v>2.9313843585140756E-3</v>
      </c>
      <c r="X168" s="55">
        <v>0.77421060905414474</v>
      </c>
      <c r="Y168" s="55">
        <v>0.89351535544233596</v>
      </c>
    </row>
    <row r="169" spans="19:25" x14ac:dyDescent="0.3">
      <c r="S169" s="55">
        <v>0.21841140165603343</v>
      </c>
      <c r="T169" s="55">
        <v>0.46734505630854106</v>
      </c>
      <c r="U169" s="55">
        <v>0.17599999999999999</v>
      </c>
      <c r="V169" s="55">
        <v>-0.68239389808331985</v>
      </c>
      <c r="W169" s="55">
        <v>-3.2768214424390919E-3</v>
      </c>
      <c r="X169" s="55">
        <v>0.77865942291376367</v>
      </c>
      <c r="Y169" s="55">
        <v>0.9070112966119952</v>
      </c>
    </row>
    <row r="170" spans="19:25" x14ac:dyDescent="0.3">
      <c r="S170" s="55">
        <v>0.22122992315404172</v>
      </c>
      <c r="T170" s="55">
        <v>0.47035085112503167</v>
      </c>
      <c r="U170" s="55">
        <v>0.17699999999999999</v>
      </c>
      <c r="V170" s="55">
        <v>-0.69478797433295514</v>
      </c>
      <c r="W170" s="55">
        <v>-8.8656598638727872E-3</v>
      </c>
      <c r="X170" s="55">
        <v>0.78419004744191267</v>
      </c>
      <c r="Y170" s="55">
        <v>0.91946358675491513</v>
      </c>
    </row>
    <row r="171" spans="19:25" x14ac:dyDescent="0.3">
      <c r="S171" s="55">
        <v>0.22407328495782083</v>
      </c>
      <c r="T171" s="55">
        <v>0.47336379768400205</v>
      </c>
      <c r="U171" s="55">
        <v>0.17799999999999999</v>
      </c>
      <c r="V171" s="55">
        <v>-0.70783722903824275</v>
      </c>
      <c r="W171" s="55">
        <v>-1.3840166580680819E-2</v>
      </c>
      <c r="X171" s="55">
        <v>0.79080502809482178</v>
      </c>
      <c r="Y171" s="55">
        <v>0.93087236752410185</v>
      </c>
    </row>
    <row r="172" spans="19:25" x14ac:dyDescent="0.3">
      <c r="S172" s="55">
        <v>0.22694111503651793</v>
      </c>
      <c r="T172" s="55">
        <v>0.47638336981523394</v>
      </c>
      <c r="U172" s="55">
        <v>0.17899999999999999</v>
      </c>
      <c r="V172" s="55">
        <v>-0.71957586266538498</v>
      </c>
      <c r="W172" s="55">
        <v>-2.0043797254230517E-2</v>
      </c>
      <c r="X172" s="55">
        <v>0.79525134209542292</v>
      </c>
      <c r="Y172" s="55">
        <v>0.94436831782419284</v>
      </c>
    </row>
    <row r="173" spans="19:25" x14ac:dyDescent="0.3">
      <c r="S173" s="55">
        <v>0.22983390953466551</v>
      </c>
      <c r="T173" s="55">
        <v>0.47940995977833578</v>
      </c>
      <c r="U173" s="55">
        <v>0.18</v>
      </c>
      <c r="V173" s="55">
        <v>-0.73262382699704343</v>
      </c>
      <c r="W173" s="55">
        <v>-2.5021116707074888E-2</v>
      </c>
      <c r="X173" s="55">
        <v>0.80186782606302509</v>
      </c>
      <c r="Y173" s="55">
        <v>0.95577711764109341</v>
      </c>
    </row>
    <row r="174" spans="19:25" x14ac:dyDescent="0.3">
      <c r="S174" s="55">
        <v>0.23275124612363055</v>
      </c>
      <c r="T174" s="55">
        <v>0.48244299779728439</v>
      </c>
      <c r="U174" s="55">
        <v>0.18099999999999999</v>
      </c>
      <c r="V174" s="55">
        <v>-0.74476501070201162</v>
      </c>
      <c r="W174" s="55">
        <v>-3.0938496379773195E-2</v>
      </c>
      <c r="X174" s="55">
        <v>0.80718743695219408</v>
      </c>
      <c r="Y174" s="55">
        <v>0.96851607012959051</v>
      </c>
    </row>
    <row r="175" spans="19:25" x14ac:dyDescent="0.3">
      <c r="S175" s="55">
        <v>0.23569327500623707</v>
      </c>
      <c r="T175" s="55">
        <v>0.4854825177143221</v>
      </c>
      <c r="U175" s="55">
        <v>0.182</v>
      </c>
      <c r="V175" s="55">
        <v>-0.75675778289223328</v>
      </c>
      <c r="W175" s="55">
        <v>-3.681084672667688E-2</v>
      </c>
      <c r="X175" s="55">
        <v>0.81184326075323821</v>
      </c>
      <c r="Y175" s="55">
        <v>0.98172536886567185</v>
      </c>
    </row>
    <row r="176" spans="19:25" x14ac:dyDescent="0.3">
      <c r="S176" s="55">
        <v>0.23866009423716364</v>
      </c>
      <c r="T176" s="55">
        <v>0.48852849889966876</v>
      </c>
      <c r="U176" s="55">
        <v>0.183</v>
      </c>
      <c r="V176" s="55">
        <v>-0.76915198584654443</v>
      </c>
      <c r="W176" s="55">
        <v>-4.2399478787372796E-2</v>
      </c>
      <c r="X176" s="55">
        <v>0.81737389613051736</v>
      </c>
      <c r="Y176" s="55">
        <v>0.99417756850339978</v>
      </c>
    </row>
    <row r="177" spans="19:25" x14ac:dyDescent="0.3">
      <c r="S177" s="55">
        <v>0.24165162975958501</v>
      </c>
      <c r="T177" s="55">
        <v>0.49158074592032691</v>
      </c>
      <c r="U177" s="55">
        <v>0.184</v>
      </c>
      <c r="V177" s="55">
        <v>-0.78154589787412243</v>
      </c>
      <c r="W177" s="55">
        <v>-4.7988604610391901E-2</v>
      </c>
      <c r="X177" s="55">
        <v>0.82290455161673626</v>
      </c>
      <c r="Y177" s="55">
        <v>1.0066299508677781</v>
      </c>
    </row>
    <row r="178" spans="19:25" x14ac:dyDescent="0.3">
      <c r="S178" s="55">
        <v>0.24466788157017125</v>
      </c>
      <c r="T178" s="55">
        <v>0.49463914278003845</v>
      </c>
      <c r="U178" s="55">
        <v>0.185</v>
      </c>
      <c r="V178" s="55">
        <v>-0.79393970978442152</v>
      </c>
      <c r="W178" s="55">
        <v>-5.3577904227370098E-2</v>
      </c>
      <c r="X178" s="55">
        <v>0.82843522284015436</v>
      </c>
      <c r="Y178" s="55">
        <v>1.0190823911716376</v>
      </c>
    </row>
    <row r="179" spans="19:25" x14ac:dyDescent="0.3">
      <c r="S179" s="55">
        <v>0.24770897418079474</v>
      </c>
      <c r="T179" s="55">
        <v>0.49770370119258178</v>
      </c>
      <c r="U179" s="55">
        <v>0.186</v>
      </c>
      <c r="V179" s="55">
        <v>-0.80698391683141235</v>
      </c>
      <c r="W179" s="55">
        <v>-5.8563374108757268E-2</v>
      </c>
      <c r="X179" s="55">
        <v>0.83505599358947513</v>
      </c>
      <c r="Y179" s="55">
        <v>1.0304912973506946</v>
      </c>
    </row>
    <row r="180" spans="19:25" x14ac:dyDescent="0.3">
      <c r="S180" s="55">
        <v>0.25077453406357009</v>
      </c>
      <c r="T180" s="55">
        <v>0.50077393508804957</v>
      </c>
      <c r="U180" s="55">
        <v>0.187</v>
      </c>
      <c r="V180" s="55">
        <v>-0.81872792426273389</v>
      </c>
      <c r="W180" s="55">
        <v>-6.4755480035998667E-2</v>
      </c>
      <c r="X180" s="55">
        <v>0.83949647661980753</v>
      </c>
      <c r="Y180" s="55">
        <v>1.0439869276789251</v>
      </c>
    </row>
    <row r="181" spans="19:25" x14ac:dyDescent="0.3">
      <c r="S181" s="55">
        <v>0.25386493473088134</v>
      </c>
      <c r="T181" s="55">
        <v>0.50385011137329461</v>
      </c>
      <c r="U181" s="55">
        <v>0.188</v>
      </c>
      <c r="V181" s="55">
        <v>-0.83112168978767242</v>
      </c>
      <c r="W181" s="55">
        <v>-7.0344858391987841E-2</v>
      </c>
      <c r="X181" s="55">
        <v>0.84502715122616356</v>
      </c>
      <c r="Y181" s="55">
        <v>1.0564393969534969</v>
      </c>
    </row>
    <row r="182" spans="19:25" x14ac:dyDescent="0.3">
      <c r="S182" s="55">
        <v>0.25698005169409244</v>
      </c>
      <c r="T182" s="55">
        <v>0.50693199908280839</v>
      </c>
      <c r="U182" s="55">
        <v>0.189</v>
      </c>
      <c r="V182" s="55">
        <v>-0.84351580241704649</v>
      </c>
      <c r="W182" s="55">
        <v>-7.5933636042512812E-2</v>
      </c>
      <c r="X182" s="55">
        <v>0.85055777530080756</v>
      </c>
      <c r="Y182" s="55">
        <v>1.0688916631587519</v>
      </c>
    </row>
    <row r="183" spans="19:25" x14ac:dyDescent="0.3">
      <c r="S183" s="55">
        <v>0.26011988494548249</v>
      </c>
      <c r="T183" s="55">
        <v>0.51001949467200025</v>
      </c>
      <c r="U183" s="55">
        <v>0.19</v>
      </c>
      <c r="V183" s="55">
        <v>-0.85590978509202909</v>
      </c>
      <c r="W183" s="55">
        <v>-8.1522639265417224E-2</v>
      </c>
      <c r="X183" s="55">
        <v>0.85608841976619954</v>
      </c>
      <c r="Y183" s="55">
        <v>1.0813440045912472</v>
      </c>
    </row>
    <row r="184" spans="19:25" x14ac:dyDescent="0.3">
      <c r="S184" s="55">
        <v>0.26328443448502797</v>
      </c>
      <c r="T184" s="55">
        <v>0.51311249690981797</v>
      </c>
      <c r="U184" s="55">
        <v>0.191</v>
      </c>
      <c r="V184" s="55">
        <v>-0.86830402990161804</v>
      </c>
      <c r="W184" s="55">
        <v>-8.7111187539756871E-2</v>
      </c>
      <c r="X184" s="55">
        <v>0.86161902323622863</v>
      </c>
      <c r="Y184" s="55">
        <v>1.0937961942051464</v>
      </c>
    </row>
    <row r="185" spans="19:25" x14ac:dyDescent="0.3">
      <c r="S185" s="55">
        <v>0.2664737003127402</v>
      </c>
      <c r="T185" s="55">
        <v>0.51621090681303916</v>
      </c>
      <c r="U185" s="55">
        <v>0.192</v>
      </c>
      <c r="V185" s="55">
        <v>-0.88069795055239219</v>
      </c>
      <c r="W185" s="55">
        <v>-9.2700298392884961E-2</v>
      </c>
      <c r="X185" s="55">
        <v>0.86714967736504112</v>
      </c>
      <c r="Y185" s="55">
        <v>1.1062485715802362</v>
      </c>
    </row>
    <row r="186" spans="19:25" x14ac:dyDescent="0.3">
      <c r="S186" s="55">
        <v>0.26968780736419951</v>
      </c>
      <c r="T186" s="55">
        <v>0.51931474787858611</v>
      </c>
      <c r="U186" s="55">
        <v>0.193</v>
      </c>
      <c r="V186" s="55">
        <v>-0.89373787980423347</v>
      </c>
      <c r="W186" s="55">
        <v>-9.7694927378712978E-2</v>
      </c>
      <c r="X186" s="55">
        <v>0.87377505550266288</v>
      </c>
      <c r="Y186" s="55">
        <v>1.1176577516802835</v>
      </c>
    </row>
    <row r="187" spans="19:25" x14ac:dyDescent="0.3">
      <c r="S187" s="55">
        <v>0.27292638084070875</v>
      </c>
      <c r="T187" s="55">
        <v>0.52242356459171013</v>
      </c>
      <c r="U187" s="55">
        <v>0.19400000000000001</v>
      </c>
      <c r="V187" s="55">
        <v>-0.90548593040411418</v>
      </c>
      <c r="W187" s="55">
        <v>-0.10387827978780682</v>
      </c>
      <c r="X187" s="55">
        <v>0.87821096416101818</v>
      </c>
      <c r="Y187" s="55">
        <v>1.1311532460309026</v>
      </c>
    </row>
    <row r="188" spans="19:25" x14ac:dyDescent="0.3">
      <c r="S188" s="55">
        <v>0.27618992057859315</v>
      </c>
      <c r="T188" s="55">
        <v>0.52553774419977972</v>
      </c>
      <c r="U188" s="55">
        <v>0.19500000000000001</v>
      </c>
      <c r="V188" s="55">
        <v>-0.91852480116312329</v>
      </c>
      <c r="W188" s="55">
        <v>-0.10887521472501255</v>
      </c>
      <c r="X188" s="55">
        <v>0.88483757245706207</v>
      </c>
      <c r="Y188" s="55">
        <v>1.1425624434310739</v>
      </c>
    </row>
    <row r="189" spans="19:25" x14ac:dyDescent="0.3">
      <c r="S189" s="55">
        <v>0.27947792651335357</v>
      </c>
      <c r="T189" s="55">
        <v>0.5286567189711614</v>
      </c>
      <c r="U189" s="55">
        <v>0.19600000000000001</v>
      </c>
      <c r="V189" s="55">
        <v>-0.9302741848128111</v>
      </c>
      <c r="W189" s="55">
        <v>-0.11505581387809968</v>
      </c>
      <c r="X189" s="55">
        <v>0.88927227445364221</v>
      </c>
      <c r="Y189" s="55">
        <v>1.1560577242372683</v>
      </c>
    </row>
    <row r="190" spans="19:25" x14ac:dyDescent="0.3">
      <c r="S190" s="55">
        <v>0.28279089889808384</v>
      </c>
      <c r="T190" s="55">
        <v>0.53178087488935122</v>
      </c>
      <c r="U190" s="55">
        <v>0.19700000000000001</v>
      </c>
      <c r="V190" s="55">
        <v>-0.94331161044638623</v>
      </c>
      <c r="W190" s="55">
        <v>-0.12005559180823346</v>
      </c>
      <c r="X190" s="55">
        <v>0.8958998690684552</v>
      </c>
      <c r="Y190" s="55">
        <v>1.1674673331861645</v>
      </c>
    </row>
    <row r="191" spans="19:25" x14ac:dyDescent="0.3">
      <c r="S191" s="55">
        <v>0.28612841066595313</v>
      </c>
      <c r="T191" s="55">
        <v>0.53490972197741282</v>
      </c>
      <c r="U191" s="55">
        <v>0.19800000000000001</v>
      </c>
      <c r="V191" s="55">
        <v>-0.95544780185287714</v>
      </c>
      <c r="W191" s="55">
        <v>-0.12597541260178211</v>
      </c>
      <c r="X191" s="55">
        <v>0.90120613218862022</v>
      </c>
      <c r="Y191" s="55">
        <v>1.1802170822660392</v>
      </c>
    </row>
    <row r="192" spans="19:25" x14ac:dyDescent="0.3">
      <c r="S192" s="55">
        <v>0.28949061717865687</v>
      </c>
      <c r="T192" s="55">
        <v>0.53804332277118438</v>
      </c>
      <c r="U192" s="55">
        <v>0.19900000000000001</v>
      </c>
      <c r="V192" s="55">
        <v>-0.96745571160969224</v>
      </c>
      <c r="W192" s="55">
        <v>-0.13182350201355136</v>
      </c>
      <c r="X192" s="55">
        <v>0.90586415439534185</v>
      </c>
      <c r="Y192" s="55">
        <v>1.1934150592279014</v>
      </c>
    </row>
    <row r="193" spans="19:25" x14ac:dyDescent="0.3">
      <c r="S193" s="55">
        <v>0.29287773857204902</v>
      </c>
      <c r="T193" s="55">
        <v>0.54118179807902722</v>
      </c>
      <c r="U193" s="55">
        <v>0.2</v>
      </c>
      <c r="V193" s="55">
        <v>-0.98049199720619029</v>
      </c>
      <c r="W193" s="55">
        <v>-0.13682590965700162</v>
      </c>
      <c r="X193" s="55">
        <v>0.91249340543723989</v>
      </c>
      <c r="Y193" s="55">
        <v>1.2048245014259518</v>
      </c>
    </row>
    <row r="194" spans="19:25" x14ac:dyDescent="0.3">
      <c r="S194" s="55">
        <v>0.10733253349473504</v>
      </c>
      <c r="T194" s="55">
        <v>0.32761644265014389</v>
      </c>
      <c r="U194" s="55">
        <v>0</v>
      </c>
      <c r="V194" s="55">
        <v>1.498950732342492</v>
      </c>
      <c r="W194" s="55">
        <v>0.98038157845498097</v>
      </c>
      <c r="X194" s="55">
        <v>-0.19473349093111192</v>
      </c>
      <c r="Y194" s="55">
        <v>-1.2845988198663609</v>
      </c>
    </row>
    <row r="195" spans="19:25" x14ac:dyDescent="0.3">
      <c r="S195" s="55">
        <v>0.10733253349473504</v>
      </c>
      <c r="T195" s="55">
        <v>0.32761644265014389</v>
      </c>
      <c r="U195" s="55">
        <v>0</v>
      </c>
      <c r="V195" s="55">
        <v>1.498950732342492</v>
      </c>
      <c r="W195" s="55">
        <v>0.98038157845498097</v>
      </c>
      <c r="X195" s="55">
        <v>-0.19473349093111192</v>
      </c>
      <c r="Y195" s="55">
        <v>-1.2845988198663609</v>
      </c>
    </row>
    <row r="196" spans="19:25" x14ac:dyDescent="0.3">
      <c r="S196" s="55">
        <v>0.10733253349473504</v>
      </c>
      <c r="T196" s="55">
        <v>0.32761644265014389</v>
      </c>
      <c r="U196" s="55">
        <v>0</v>
      </c>
      <c r="V196" s="55">
        <v>1.498950732342492</v>
      </c>
      <c r="W196" s="55">
        <v>0.98038157845498097</v>
      </c>
      <c r="X196" s="55">
        <v>-0.19473349093111192</v>
      </c>
      <c r="Y196" s="55">
        <v>-1.2845988198663609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invariance">
                <anchor moveWithCells="1" sizeWithCells="1">
                  <from>
                    <xdr:col>16</xdr:col>
                    <xdr:colOff>426720</xdr:colOff>
                    <xdr:row>1</xdr:row>
                    <xdr:rowOff>350520</xdr:rowOff>
                  </from>
                  <to>
                    <xdr:col>17</xdr:col>
                    <xdr:colOff>693420</xdr:colOff>
                    <xdr:row>1</xdr:row>
                    <xdr:rowOff>784860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8345A-E45B-4C20-82F1-5165E5F44853}">
  <sheetPr codeName="Feuil2"/>
  <dimension ref="A1:Q23"/>
  <sheetViews>
    <sheetView zoomScale="58" zoomScaleNormal="58" workbookViewId="0">
      <selection activeCell="W18" sqref="W18"/>
    </sheetView>
  </sheetViews>
  <sheetFormatPr baseColWidth="10" defaultRowHeight="14.4" x14ac:dyDescent="0.3"/>
  <sheetData>
    <row r="1" spans="1:17" ht="16.2" thickBot="1" x14ac:dyDescent="0.35">
      <c r="A1" s="1" t="s">
        <v>0</v>
      </c>
      <c r="B1" s="2"/>
      <c r="C1" s="2"/>
      <c r="D1" s="2"/>
      <c r="E1" s="2"/>
      <c r="G1" s="2"/>
      <c r="H1" s="2"/>
      <c r="I1" s="2"/>
      <c r="J1" s="8"/>
    </row>
    <row r="2" spans="1:17" ht="62.4" x14ac:dyDescent="0.3">
      <c r="A2" s="23" t="s">
        <v>1</v>
      </c>
      <c r="B2" s="24" t="s">
        <v>2</v>
      </c>
      <c r="C2" s="25" t="s">
        <v>3</v>
      </c>
      <c r="D2" s="25" t="s">
        <v>4</v>
      </c>
      <c r="E2" s="26" t="s">
        <v>19</v>
      </c>
      <c r="G2" s="22" t="s">
        <v>9</v>
      </c>
      <c r="H2" s="20" t="str">
        <f>$B$3</f>
        <v>Titre A</v>
      </c>
      <c r="I2" s="20" t="str">
        <f>$B$4</f>
        <v>Titre B</v>
      </c>
      <c r="J2" s="20" t="str">
        <f>$B$5</f>
        <v>Titre C</v>
      </c>
      <c r="K2" s="21" t="str">
        <f>$B$6</f>
        <v>Titre D</v>
      </c>
      <c r="M2" s="17" t="s">
        <v>10</v>
      </c>
      <c r="N2" s="20" t="str">
        <f>$B$3</f>
        <v>Titre A</v>
      </c>
      <c r="O2" s="20" t="str">
        <f>$B$4</f>
        <v>Titre B</v>
      </c>
      <c r="P2" s="20" t="str">
        <f>$B$5</f>
        <v>Titre C</v>
      </c>
      <c r="Q2" s="21" t="str">
        <f>$B$6</f>
        <v>Titre D</v>
      </c>
    </row>
    <row r="3" spans="1:17" ht="15.6" x14ac:dyDescent="0.3">
      <c r="A3" s="3">
        <v>1</v>
      </c>
      <c r="B3" s="27" t="s">
        <v>5</v>
      </c>
      <c r="C3" s="63">
        <v>7.2499999999999995E-2</v>
      </c>
      <c r="D3" s="61">
        <f>SQRT(N3)</f>
        <v>0.29068883707497267</v>
      </c>
      <c r="E3" s="31">
        <f>N3</f>
        <v>8.4500000000000006E-2</v>
      </c>
      <c r="G3" s="18" t="str">
        <f>$B$3</f>
        <v>Titre A</v>
      </c>
      <c r="H3" s="8">
        <v>1</v>
      </c>
      <c r="I3" s="8"/>
      <c r="J3" s="8"/>
      <c r="K3" s="11"/>
      <c r="M3" s="18" t="str">
        <f>$B$3</f>
        <v>Titre A</v>
      </c>
      <c r="N3" s="29">
        <v>8.4500000000000006E-2</v>
      </c>
      <c r="O3" s="34">
        <v>4.6600000000000003E-2</v>
      </c>
      <c r="P3" s="36">
        <v>7.1099999999999997E-2</v>
      </c>
      <c r="Q3" s="38">
        <v>8.3400000000000002E-2</v>
      </c>
    </row>
    <row r="4" spans="1:17" ht="15.6" x14ac:dyDescent="0.3">
      <c r="A4" s="4">
        <v>2</v>
      </c>
      <c r="B4" s="27" t="s">
        <v>6</v>
      </c>
      <c r="C4" s="63">
        <v>0.10050000000000001</v>
      </c>
      <c r="D4" s="61">
        <f>SQRT(O4)</f>
        <v>0.34496376621320679</v>
      </c>
      <c r="E4" s="31">
        <f>O4</f>
        <v>0.11899999999999999</v>
      </c>
      <c r="G4" s="18" t="str">
        <f>$B$4</f>
        <v>Titre B</v>
      </c>
      <c r="H4" s="46">
        <f>N4/(D3*D4)</f>
        <v>0.46471220796201329</v>
      </c>
      <c r="I4" s="8">
        <v>1</v>
      </c>
      <c r="J4" s="8"/>
      <c r="K4" s="11"/>
      <c r="M4" s="18" t="str">
        <f>$B$4</f>
        <v>Titre B</v>
      </c>
      <c r="N4" s="33">
        <v>4.6600000000000003E-2</v>
      </c>
      <c r="O4" s="29">
        <v>0.11899999999999999</v>
      </c>
      <c r="P4" s="39">
        <v>5.2999999999999999E-2</v>
      </c>
      <c r="Q4" s="41">
        <v>0.114</v>
      </c>
    </row>
    <row r="5" spans="1:17" ht="15.6" x14ac:dyDescent="0.3">
      <c r="A5" s="4">
        <v>3</v>
      </c>
      <c r="B5" s="27" t="s">
        <v>7</v>
      </c>
      <c r="C5" s="63">
        <v>0.124</v>
      </c>
      <c r="D5" s="61">
        <f>SQRT(P5)</f>
        <v>0.37549966711037175</v>
      </c>
      <c r="E5" s="31">
        <f>P5</f>
        <v>0.14099999999999999</v>
      </c>
      <c r="G5" s="18" t="str">
        <f>$B$5</f>
        <v>Titre C</v>
      </c>
      <c r="H5" s="46">
        <f>N5/(D3*D5)</f>
        <v>0.65137590553649094</v>
      </c>
      <c r="I5" s="46">
        <f>O5/(D4*D5)</f>
        <v>0.4091596821648823</v>
      </c>
      <c r="J5" s="8">
        <v>1</v>
      </c>
      <c r="K5" s="11"/>
      <c r="M5" s="18" t="str">
        <f>$B$5</f>
        <v>Titre C</v>
      </c>
      <c r="N5" s="35">
        <v>7.1099999999999997E-2</v>
      </c>
      <c r="O5" s="39">
        <v>5.2999999999999999E-2</v>
      </c>
      <c r="P5" s="29">
        <v>0.14099999999999999</v>
      </c>
      <c r="Q5" s="43">
        <v>9.2999999999999999E-2</v>
      </c>
    </row>
    <row r="6" spans="1:17" ht="16.2" thickBot="1" x14ac:dyDescent="0.35">
      <c r="A6" s="5">
        <v>4</v>
      </c>
      <c r="B6" s="28" t="s">
        <v>8</v>
      </c>
      <c r="C6" s="64">
        <v>0.14249999999999999</v>
      </c>
      <c r="D6" s="62">
        <f>SQRT(Q6)</f>
        <v>0.41509035161034519</v>
      </c>
      <c r="E6" s="32">
        <f>Q6</f>
        <v>0.17230000000000001</v>
      </c>
      <c r="G6" s="19" t="str">
        <f>$B$6</f>
        <v>Titre D</v>
      </c>
      <c r="H6" s="45">
        <f>N6/(D3*D6)</f>
        <v>0.69118619819294402</v>
      </c>
      <c r="I6" s="45">
        <f>O6/(D4*D6)</f>
        <v>0.79613869375628099</v>
      </c>
      <c r="J6" s="45">
        <f>P6/(D5*D6)</f>
        <v>0.5966652615258845</v>
      </c>
      <c r="K6" s="12">
        <v>1</v>
      </c>
      <c r="M6" s="19" t="str">
        <f>$B$6</f>
        <v>Titre D</v>
      </c>
      <c r="N6" s="37">
        <v>8.3400000000000002E-2</v>
      </c>
      <c r="O6" s="40">
        <v>0.114</v>
      </c>
      <c r="P6" s="42">
        <v>9.2999999999999999E-2</v>
      </c>
      <c r="Q6" s="30">
        <v>0.17230000000000001</v>
      </c>
    </row>
    <row r="8" spans="1:17" ht="15.6" x14ac:dyDescent="0.3">
      <c r="A8" s="47" t="s">
        <v>24</v>
      </c>
    </row>
    <row r="10" spans="1:17" ht="15.6" x14ac:dyDescent="0.3">
      <c r="A10" s="48"/>
    </row>
    <row r="11" spans="1:17" ht="15.6" x14ac:dyDescent="0.3">
      <c r="A11" s="48"/>
    </row>
    <row r="12" spans="1:17" ht="15" thickBot="1" x14ac:dyDescent="0.35"/>
    <row r="13" spans="1:17" ht="15.6" x14ac:dyDescent="0.3">
      <c r="A13" s="53" t="s">
        <v>13</v>
      </c>
      <c r="B13" s="9"/>
      <c r="C13" s="50"/>
      <c r="D13" s="13"/>
    </row>
    <row r="14" spans="1:17" ht="15.6" x14ac:dyDescent="0.3">
      <c r="A14" s="10"/>
      <c r="B14" s="2" t="s">
        <v>14</v>
      </c>
      <c r="C14" s="52">
        <v>0.72475906214420105</v>
      </c>
      <c r="D14" s="54" t="str">
        <f>B3</f>
        <v>Titre A</v>
      </c>
      <c r="E14" s="58"/>
    </row>
    <row r="15" spans="1:17" ht="15.6" x14ac:dyDescent="0.3">
      <c r="A15" s="10"/>
      <c r="B15" s="2" t="s">
        <v>15</v>
      </c>
      <c r="C15" s="52">
        <v>0.63126658305433914</v>
      </c>
      <c r="D15" s="54" t="str">
        <f>B4</f>
        <v>Titre B</v>
      </c>
      <c r="E15" s="58"/>
    </row>
    <row r="16" spans="1:17" ht="15.6" x14ac:dyDescent="0.3">
      <c r="A16" s="10"/>
      <c r="B16" s="2" t="s">
        <v>16</v>
      </c>
      <c r="C16" s="52">
        <v>0.15073813425351398</v>
      </c>
      <c r="D16" s="54" t="str">
        <f>B5</f>
        <v>Titre C</v>
      </c>
      <c r="E16" s="58"/>
    </row>
    <row r="17" spans="1:14" ht="15.6" x14ac:dyDescent="0.3">
      <c r="A17" s="10"/>
      <c r="B17" s="2" t="s">
        <v>18</v>
      </c>
      <c r="C17" s="52">
        <v>-0.50676377945205431</v>
      </c>
      <c r="D17" s="54" t="str">
        <f>B6</f>
        <v>Titre D</v>
      </c>
      <c r="E17" s="58"/>
      <c r="M17" s="27"/>
      <c r="N17" s="56"/>
    </row>
    <row r="18" spans="1:14" ht="15.6" x14ac:dyDescent="0.3">
      <c r="A18" s="51"/>
      <c r="B18" s="8" t="s">
        <v>17</v>
      </c>
      <c r="C18">
        <f>SUM(C14:C17)</f>
        <v>0.99999999999999978</v>
      </c>
      <c r="D18" s="14"/>
      <c r="M18" s="27"/>
      <c r="N18" s="56"/>
    </row>
    <row r="19" spans="1:14" ht="15.6" x14ac:dyDescent="0.3">
      <c r="A19" s="51"/>
      <c r="D19" s="14"/>
      <c r="M19" s="27"/>
      <c r="N19" s="56"/>
    </row>
    <row r="20" spans="1:14" ht="15.6" x14ac:dyDescent="0.3">
      <c r="A20" s="18" t="s">
        <v>3</v>
      </c>
      <c r="B20" s="8"/>
      <c r="C20" s="55">
        <f>SUMPRODUCT(C3:C6,C14:C17)</f>
        <v>6.2465013677933667E-2</v>
      </c>
      <c r="D20" s="14"/>
      <c r="M20" s="27"/>
      <c r="N20" s="56"/>
    </row>
    <row r="21" spans="1:14" ht="15.6" x14ac:dyDescent="0.3">
      <c r="A21" s="10"/>
      <c r="B21" s="8"/>
      <c r="D21" s="14"/>
    </row>
    <row r="22" spans="1:14" ht="15.6" x14ac:dyDescent="0.3">
      <c r="A22" s="18" t="s">
        <v>19</v>
      </c>
      <c r="B22" s="8"/>
      <c r="C22" s="66">
        <f>C14^2*E3+C15^2*E4+C16^2*E5+C17^2*E6+2*(C14*C15*H4*D3*D4+C14*C16*H5*D3*D5+C14*C17*H6*D3*D6+C15*C16*I5*D4*D5+C15*C17*I6*D4*D6+C16*C17*J6*D5*D6)</f>
        <v>5.9112546610042185E-2</v>
      </c>
      <c r="D22" s="14"/>
    </row>
    <row r="23" spans="1:14" ht="16.2" thickBot="1" x14ac:dyDescent="0.35">
      <c r="A23" s="19" t="s">
        <v>20</v>
      </c>
      <c r="B23" s="44"/>
      <c r="C23" s="68">
        <f>SQRT($C$22)</f>
        <v>0.24313071918217613</v>
      </c>
      <c r="D23" s="16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9AC93-853F-401A-9085-610BFA5D5125}">
  <sheetPr codeName="Feuil1"/>
  <dimension ref="A1:Q27"/>
  <sheetViews>
    <sheetView zoomScale="54" zoomScaleNormal="54" workbookViewId="0">
      <selection activeCell="I50" sqref="I50"/>
    </sheetView>
  </sheetViews>
  <sheetFormatPr baseColWidth="10" defaultRowHeight="14.4" x14ac:dyDescent="0.3"/>
  <cols>
    <col min="2" max="2" width="13.6640625" customWidth="1"/>
    <col min="3" max="3" width="11.88671875" customWidth="1"/>
    <col min="4" max="5" width="12.88671875" customWidth="1"/>
    <col min="7" max="7" width="14.33203125" customWidth="1"/>
    <col min="13" max="13" width="14" customWidth="1"/>
  </cols>
  <sheetData>
    <row r="1" spans="1:17" ht="16.2" thickBot="1" x14ac:dyDescent="0.35">
      <c r="A1" s="1" t="s">
        <v>0</v>
      </c>
      <c r="B1" s="2"/>
      <c r="C1" s="2"/>
      <c r="D1" s="2"/>
      <c r="E1" s="2"/>
      <c r="G1" s="2"/>
      <c r="H1" s="2"/>
      <c r="I1" s="2"/>
      <c r="J1" s="8"/>
    </row>
    <row r="2" spans="1:17" ht="68.7" customHeight="1" x14ac:dyDescent="0.3">
      <c r="A2" s="23" t="s">
        <v>1</v>
      </c>
      <c r="B2" s="24" t="s">
        <v>2</v>
      </c>
      <c r="C2" s="25" t="s">
        <v>3</v>
      </c>
      <c r="D2" s="25" t="s">
        <v>4</v>
      </c>
      <c r="E2" s="26" t="s">
        <v>19</v>
      </c>
      <c r="G2" s="22" t="s">
        <v>9</v>
      </c>
      <c r="H2" s="20" t="str">
        <f>$B$3</f>
        <v>Titre A</v>
      </c>
      <c r="I2" s="20" t="str">
        <f>$B$4</f>
        <v>Titre B</v>
      </c>
      <c r="J2" s="20" t="str">
        <f>$B$5</f>
        <v>Titre C</v>
      </c>
      <c r="K2" s="21" t="str">
        <f>$B$6</f>
        <v>Titre D</v>
      </c>
      <c r="M2" s="17" t="s">
        <v>10</v>
      </c>
      <c r="N2" s="20" t="str">
        <f>$B$3</f>
        <v>Titre A</v>
      </c>
      <c r="O2" s="20" t="str">
        <f>$B$4</f>
        <v>Titre B</v>
      </c>
      <c r="P2" s="20" t="str">
        <f>$B$5</f>
        <v>Titre C</v>
      </c>
      <c r="Q2" s="21" t="str">
        <f>$B$6</f>
        <v>Titre D</v>
      </c>
    </row>
    <row r="3" spans="1:17" ht="15.6" x14ac:dyDescent="0.3">
      <c r="A3" s="3">
        <v>1</v>
      </c>
      <c r="B3" s="27" t="s">
        <v>5</v>
      </c>
      <c r="C3" s="6">
        <v>7.2499999999999995E-2</v>
      </c>
      <c r="D3" s="57">
        <f>SQRT(N3)</f>
        <v>0.29068883707497267</v>
      </c>
      <c r="E3" s="31">
        <f>N3</f>
        <v>8.4500000000000006E-2</v>
      </c>
      <c r="G3" s="18" t="str">
        <f>$B$3</f>
        <v>Titre A</v>
      </c>
      <c r="H3" s="8">
        <v>1</v>
      </c>
      <c r="I3" s="8"/>
      <c r="J3" s="8"/>
      <c r="K3" s="11"/>
      <c r="M3" s="18" t="str">
        <f>$B$3</f>
        <v>Titre A</v>
      </c>
      <c r="N3" s="29">
        <v>8.4500000000000006E-2</v>
      </c>
      <c r="O3" s="34">
        <v>4.6600000000000003E-2</v>
      </c>
      <c r="P3" s="36">
        <v>7.1099999999999997E-2</v>
      </c>
      <c r="Q3" s="38">
        <v>8.3400000000000002E-2</v>
      </c>
    </row>
    <row r="4" spans="1:17" ht="15.6" x14ac:dyDescent="0.3">
      <c r="A4" s="4">
        <v>2</v>
      </c>
      <c r="B4" s="27" t="s">
        <v>6</v>
      </c>
      <c r="C4" s="6">
        <v>0.10050000000000001</v>
      </c>
      <c r="D4" s="57">
        <f>SQRT(O4)</f>
        <v>0.34496376621320679</v>
      </c>
      <c r="E4" s="31">
        <f>O4</f>
        <v>0.11899999999999999</v>
      </c>
      <c r="G4" s="18" t="str">
        <f>$B$4</f>
        <v>Titre B</v>
      </c>
      <c r="H4" s="46">
        <f>N4/(D3*D4)</f>
        <v>0.46471220796201329</v>
      </c>
      <c r="I4" s="8">
        <v>1</v>
      </c>
      <c r="J4" s="8"/>
      <c r="K4" s="11"/>
      <c r="M4" s="18" t="str">
        <f>$B$4</f>
        <v>Titre B</v>
      </c>
      <c r="N4" s="33">
        <v>4.6600000000000003E-2</v>
      </c>
      <c r="O4" s="29">
        <v>0.11899999999999999</v>
      </c>
      <c r="P4" s="39">
        <v>5.2999999999999999E-2</v>
      </c>
      <c r="Q4" s="41">
        <v>0.114</v>
      </c>
    </row>
    <row r="5" spans="1:17" ht="15.6" x14ac:dyDescent="0.3">
      <c r="A5" s="4">
        <v>3</v>
      </c>
      <c r="B5" s="27" t="s">
        <v>7</v>
      </c>
      <c r="C5" s="6">
        <v>0.124</v>
      </c>
      <c r="D5" s="57">
        <f>SQRT(P5)</f>
        <v>0.37549966711037175</v>
      </c>
      <c r="E5" s="31">
        <f>P5</f>
        <v>0.14099999999999999</v>
      </c>
      <c r="G5" s="18" t="str">
        <f>$B$5</f>
        <v>Titre C</v>
      </c>
      <c r="H5" s="46">
        <f>N5/(D3*D5)</f>
        <v>0.65137590553649094</v>
      </c>
      <c r="I5" s="46">
        <f>O5/(D4*D5)</f>
        <v>0.4091596821648823</v>
      </c>
      <c r="J5" s="8">
        <v>1</v>
      </c>
      <c r="K5" s="11"/>
      <c r="M5" s="18" t="str">
        <f>$B$5</f>
        <v>Titre C</v>
      </c>
      <c r="N5" s="35">
        <v>7.1099999999999997E-2</v>
      </c>
      <c r="O5" s="39">
        <v>5.2999999999999999E-2</v>
      </c>
      <c r="P5" s="29">
        <v>0.14099999999999999</v>
      </c>
      <c r="Q5" s="43">
        <v>9.2999999999999999E-2</v>
      </c>
    </row>
    <row r="6" spans="1:17" ht="16.2" thickBot="1" x14ac:dyDescent="0.35">
      <c r="A6" s="5">
        <v>4</v>
      </c>
      <c r="B6" s="28" t="s">
        <v>8</v>
      </c>
      <c r="C6" s="7">
        <v>0.14249999999999999</v>
      </c>
      <c r="D6" s="59">
        <f>SQRT(Q6)</f>
        <v>0.41509035161034519</v>
      </c>
      <c r="E6" s="32">
        <f>Q6</f>
        <v>0.17230000000000001</v>
      </c>
      <c r="G6" s="19" t="str">
        <f>$B$6</f>
        <v>Titre D</v>
      </c>
      <c r="H6" s="45">
        <f>N6/(D3*D6)</f>
        <v>0.69118619819294402</v>
      </c>
      <c r="I6" s="45">
        <f>O6/(D4*D6)</f>
        <v>0.79613869375628099</v>
      </c>
      <c r="J6" s="45">
        <f>P6/(D5*D6)</f>
        <v>0.5966652615258845</v>
      </c>
      <c r="K6" s="12">
        <v>1</v>
      </c>
      <c r="M6" s="19" t="str">
        <f>$B$6</f>
        <v>Titre D</v>
      </c>
      <c r="N6" s="37">
        <v>8.3400000000000002E-2</v>
      </c>
      <c r="O6" s="40">
        <v>0.114</v>
      </c>
      <c r="P6" s="42">
        <v>9.2999999999999999E-2</v>
      </c>
      <c r="Q6" s="30">
        <v>0.17230000000000001</v>
      </c>
    </row>
    <row r="8" spans="1:17" ht="15.6" x14ac:dyDescent="0.3">
      <c r="A8" s="47" t="s">
        <v>11</v>
      </c>
    </row>
    <row r="10" spans="1:17" ht="15.6" x14ac:dyDescent="0.3">
      <c r="A10" s="48" t="s">
        <v>12</v>
      </c>
      <c r="C10" s="49">
        <v>6.2E-2</v>
      </c>
    </row>
    <row r="11" spans="1:17" ht="15" thickBot="1" x14ac:dyDescent="0.35"/>
    <row r="12" spans="1:17" ht="15.6" x14ac:dyDescent="0.3">
      <c r="A12" s="53" t="s">
        <v>13</v>
      </c>
      <c r="B12" s="9"/>
      <c r="C12" s="50"/>
      <c r="D12" s="13"/>
    </row>
    <row r="13" spans="1:17" ht="15.6" x14ac:dyDescent="0.3">
      <c r="A13" s="10"/>
      <c r="B13" s="2" t="s">
        <v>14</v>
      </c>
      <c r="C13" s="52">
        <v>0.73052245519298731</v>
      </c>
      <c r="D13" s="54" t="str">
        <f>B3</f>
        <v>Titre A</v>
      </c>
      <c r="E13" s="58"/>
    </row>
    <row r="14" spans="1:17" ht="15.6" x14ac:dyDescent="0.3">
      <c r="A14" s="10"/>
      <c r="B14" s="2" t="s">
        <v>15</v>
      </c>
      <c r="C14" s="52">
        <v>0.63386529292163551</v>
      </c>
      <c r="D14" s="54" t="str">
        <f>B4</f>
        <v>Titre B</v>
      </c>
      <c r="E14" s="58"/>
    </row>
    <row r="15" spans="1:17" ht="15.6" x14ac:dyDescent="0.3">
      <c r="A15" s="10"/>
      <c r="B15" s="2" t="s">
        <v>16</v>
      </c>
      <c r="C15" s="52">
        <v>0.14816680350865857</v>
      </c>
      <c r="D15" s="54" t="str">
        <f>B5</f>
        <v>Titre C</v>
      </c>
      <c r="E15" s="58"/>
    </row>
    <row r="16" spans="1:17" ht="15.6" x14ac:dyDescent="0.3">
      <c r="A16" s="10"/>
      <c r="B16" s="2" t="s">
        <v>18</v>
      </c>
      <c r="C16" s="52">
        <v>-0.51255455158427632</v>
      </c>
      <c r="D16" s="54" t="str">
        <f>B6</f>
        <v>Titre D</v>
      </c>
      <c r="E16" s="58"/>
      <c r="M16" s="27"/>
      <c r="N16" s="56"/>
    </row>
    <row r="17" spans="1:14" ht="15.6" x14ac:dyDescent="0.3">
      <c r="A17" s="51"/>
      <c r="B17" s="8" t="s">
        <v>17</v>
      </c>
      <c r="C17">
        <f>SUM(C13:C16)</f>
        <v>1.0000000000390052</v>
      </c>
      <c r="D17" s="14"/>
      <c r="M17" s="27"/>
      <c r="N17" s="56"/>
    </row>
    <row r="18" spans="1:14" ht="15.6" x14ac:dyDescent="0.3">
      <c r="A18" s="51"/>
      <c r="D18" s="14"/>
      <c r="M18" s="27"/>
      <c r="N18" s="56"/>
    </row>
    <row r="19" spans="1:14" ht="15.6" x14ac:dyDescent="0.3">
      <c r="A19" s="18" t="s">
        <v>3</v>
      </c>
      <c r="B19" s="8"/>
      <c r="C19" s="69">
        <f>SUMPRODUCT(C3:C6,C13:C16)</f>
        <v>6.1999999974430259E-2</v>
      </c>
      <c r="D19" s="14"/>
      <c r="M19" s="27"/>
      <c r="N19" s="56"/>
    </row>
    <row r="20" spans="1:14" ht="15.6" x14ac:dyDescent="0.3">
      <c r="A20" s="10"/>
      <c r="B20" s="8"/>
      <c r="D20" s="14"/>
    </row>
    <row r="21" spans="1:14" ht="15.6" x14ac:dyDescent="0.3">
      <c r="A21" s="18" t="s">
        <v>19</v>
      </c>
      <c r="B21" s="8"/>
      <c r="C21" s="60">
        <f>C13^2*E3+C14^2*E4+C15^2*E5+C16^2*E6+2*(C13*C14*H4*D3*D4+C13*C15*H5*D3*D5+C13*C16*H6*D3*D6+C14*C15*I5*D4*D5+C14*C16*I6*D4*D6+C15*C16*J6*D5*D6)</f>
        <v>5.9115218948230103E-2</v>
      </c>
      <c r="D21" s="14"/>
    </row>
    <row r="22" spans="1:14" ht="16.2" thickBot="1" x14ac:dyDescent="0.35">
      <c r="A22" s="19" t="s">
        <v>20</v>
      </c>
      <c r="B22" s="44"/>
      <c r="C22" s="15">
        <f>SQRT(C21)</f>
        <v>0.24313621480197084</v>
      </c>
      <c r="D22" s="16"/>
    </row>
    <row r="27" spans="1:14" ht="13.5" customHeight="1" x14ac:dyDescent="0.3"/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opt var portefeuille</vt:lpstr>
      <vt:lpstr>var min portf sans cntr rend</vt:lpstr>
      <vt:lpstr>brouillon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 sofia Sanchez Ortiz</dc:creator>
  <cp:lastModifiedBy>heddier soler..</cp:lastModifiedBy>
  <dcterms:created xsi:type="dcterms:W3CDTF">2020-10-16T17:32:12Z</dcterms:created>
  <dcterms:modified xsi:type="dcterms:W3CDTF">2024-05-27T01:55:33Z</dcterms:modified>
</cp:coreProperties>
</file>